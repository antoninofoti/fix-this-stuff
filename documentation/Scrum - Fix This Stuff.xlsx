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 &amp; Burndown" sheetId="1" r:id="rId4"/>
    <sheet state="visible" name="Release Backlog" sheetId="2" r:id="rId5"/>
  </sheets>
  <definedNames/>
  <calcPr/>
</workbook>
</file>

<file path=xl/sharedStrings.xml><?xml version="1.0" encoding="utf-8"?>
<sst xmlns="http://schemas.openxmlformats.org/spreadsheetml/2006/main" count="271" uniqueCount="171">
  <si>
    <t>SCRUM PROJECT MANAGEMENT FIX THIS STUFF CHART</t>
  </si>
  <si>
    <t>FIX THIS STUFF CHART AND BURNDOWN</t>
  </si>
  <si>
    <t>SPRINTS</t>
  </si>
  <si>
    <t>SPRINT 1</t>
  </si>
  <si>
    <t>SPRINT 2</t>
  </si>
  <si>
    <t>SPRINT 3</t>
  </si>
  <si>
    <t>SPRINT 4</t>
  </si>
  <si>
    <t>SPRINT 5</t>
  </si>
  <si>
    <t>SPRINT 6</t>
  </si>
  <si>
    <t>WORK BREAKDOWN STRUCTURE</t>
  </si>
  <si>
    <t>TASK TITLE</t>
  </si>
  <si>
    <t>TASK OWNER</t>
  </si>
  <si>
    <t>AMOUNT OF WORK IN HOURS</t>
  </si>
  <si>
    <t>SPRINT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</si>
  <si>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</si>
  <si>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</si>
  <si>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</si>
  <si>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</si>
  <si>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</si>
  <si>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</si>
  <si>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</si>
  <si>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</si>
  <si>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</si>
  <si>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</si>
  <si>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</si>
  <si>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</si>
  <si>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</si>
  <si>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</si>
  <si>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</si>
  <si>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</si>
  <si>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ESTIMATED</t>
  </si>
  <si>
    <t>COMPLETED</t>
  </si>
  <si>
    <t>REMAINING</t>
  </si>
  <si>
    <t>M</t>
  </si>
  <si>
    <t>T</t>
  </si>
  <si>
    <t>W</t>
  </si>
  <si>
    <t>F</t>
  </si>
  <si>
    <t>Project Setup and Infrastructure</t>
  </si>
  <si>
    <t>1.1</t>
  </si>
  <si>
    <t>Configure Docker Compose with multi-database PostgreSQL</t>
  </si>
  <si>
    <t>Antonino</t>
  </si>
  <si>
    <t>1.2</t>
  </si>
  <si>
    <t>Setup RabbitMQ container for event-driven architecture</t>
  </si>
  <si>
    <t>Leonardo</t>
  </si>
  <si>
    <t>1.3</t>
  </si>
  <si>
    <t>Setup API Gateway (Spring Boot) with routing configuration</t>
  </si>
  <si>
    <t>1.4</t>
  </si>
  <si>
    <t>Initialize all microservices (auth, user, ticket, comment)</t>
  </si>
  <si>
    <t>Mario + Leonardo</t>
  </si>
  <si>
    <t>1.5</t>
  </si>
  <si>
    <t>Setup Vue 3 frontend project with Vite</t>
  </si>
  <si>
    <t>Michel</t>
  </si>
  <si>
    <t>Authentication &amp; Authorization System</t>
  </si>
  <si>
    <t>2.1</t>
  </si>
  <si>
    <t>Implement user registration and login with bcrypt password hashing</t>
  </si>
  <si>
    <t>2.2</t>
  </si>
  <si>
    <t>JWT token generation and validation in API Gateway</t>
  </si>
  <si>
    <t>2.3</t>
  </si>
  <si>
    <t>Create role-based middleware (USER, MODERATOR, ADMIN)</t>
  </si>
  <si>
    <t>Antonino + Mario</t>
  </si>
  <si>
    <t>2.4</t>
  </si>
  <si>
    <t>Build Login and Register views with form validation</t>
  </si>
  <si>
    <t>2.5</t>
  </si>
  <si>
    <t>Implement axios interceptors and route guards</t>
  </si>
  <si>
    <t>2.6</t>
  </si>
  <si>
    <t>Containerize Flask API and consumer service</t>
  </si>
  <si>
    <t>2.7</t>
  </si>
  <si>
    <t>CORS configuration and cross-service authentication</t>
  </si>
  <si>
    <t>User Management &amp; Role-Based Access</t>
  </si>
  <si>
    <t>3.1</t>
  </si>
  <si>
    <t>Create users table with role constraints and default admin</t>
  </si>
  <si>
    <t>3.2</t>
  </si>
  <si>
    <t>Implement user CRUD operations (list, view, update, delete)</t>
  </si>
  <si>
    <t>Mario</t>
  </si>
  <si>
    <t>3.3</t>
  </si>
  <si>
    <t>Create role assignment endpoints with authorization middleware</t>
  </si>
  <si>
    <t>Antonino + Leonardo</t>
  </si>
  <si>
    <t>3.4</t>
  </si>
  <si>
    <t>Implement role assignment UI with confirmation dialogs</t>
  </si>
  <si>
    <t>3.5</t>
  </si>
  <si>
    <t>Build ProfileView and AdminView with user statistics and management</t>
  </si>
  <si>
    <t>Michel + Antonino</t>
  </si>
  <si>
    <t>3.6</t>
  </si>
  <si>
    <t>Implement cross-service user synchronization</t>
  </si>
  <si>
    <t>3.7</t>
  </si>
  <si>
    <t>Backend optimization and caching</t>
  </si>
  <si>
    <t xml:space="preserve">Ticket Management System </t>
  </si>
  <si>
    <t>4.1</t>
  </si>
  <si>
    <t>Create ticket, topic, and junction tables with indexes</t>
  </si>
  <si>
    <t>4.2</t>
  </si>
  <si>
    <t>Implement ticket CRUD with filtering, search, and pagination</t>
  </si>
  <si>
    <t>Mario + Antonino + Leonardo</t>
  </si>
  <si>
    <t>4.3</t>
  </si>
  <si>
    <t>Add ticket assignment and moderator management features</t>
  </si>
  <si>
    <t>4.4</t>
  </si>
  <si>
    <t>Create TicketView with with list, filters, and create form and edit/delete actions</t>
  </si>
  <si>
    <t>Michel + Leonardo</t>
  </si>
  <si>
    <t>4.5</t>
  </si>
  <si>
    <t>Implement ServiceRegistry for cross-service data enrichment</t>
  </si>
  <si>
    <t>4.6</t>
  </si>
  <si>
    <t>Backend performance optimization</t>
  </si>
  <si>
    <t>5</t>
  </si>
  <si>
    <t>Comment System</t>
  </si>
  <si>
    <t>5.1</t>
  </si>
  <si>
    <t>Create comment database schema and Flask Comment API</t>
  </si>
  <si>
    <t>5.2</t>
  </si>
  <si>
    <t>Implement RabbitMQ event publishing (create/edit/delete)</t>
  </si>
  <si>
    <t>5.3</t>
  </si>
  <si>
    <t>Build Python consumer service for async persistence</t>
  </si>
  <si>
    <t>5.4</t>
  </si>
  <si>
    <t>Configure RabbitMQ exchanges and queues</t>
  </si>
  <si>
    <t>5.5</t>
  </si>
  <si>
    <t>Create comment UI components and integrate into TicketView</t>
  </si>
  <si>
    <t>Michel + Antonino + Mario</t>
  </si>
  <si>
    <t>6</t>
  </si>
  <si>
    <t>Resolution Workflow, Leaderboard &amp; Admin Features</t>
  </si>
  <si>
    <t>6.1</t>
  </si>
  <si>
    <t>Implement resolution workflow (request/approve/reject) with anti-self-approval</t>
  </si>
  <si>
    <t>6.2</t>
  </si>
  <si>
    <t>Create developer_points table and point calculation logic</t>
  </si>
  <si>
    <t>6.3</t>
  </si>
  <si>
    <t>Build public leaderboard endpoint ranked by points</t>
  </si>
  <si>
    <t>6.4</t>
  </si>
  <si>
    <t>Implement ticket rating system (1-5 stars)</t>
  </si>
  <si>
    <t>6.5</t>
  </si>
  <si>
    <t>Create PendingApprovalsView, LeaderboardView, and HomeView with statistics</t>
  </si>
  <si>
    <t>Michel + Antonino + Leonardo + Mario</t>
  </si>
  <si>
    <t>6.6</t>
  </si>
  <si>
    <t>Write comprehensive documentation (API, Architecture, Security)</t>
  </si>
  <si>
    <t>Antonino + Mario + Leonardo + Michel</t>
  </si>
  <si>
    <t>ESTIMATE</t>
  </si>
  <si>
    <t>DAYS worked in total (if we worked the same day we count it as 1 day)</t>
  </si>
  <si>
    <t>EST/DAYS</t>
  </si>
  <si>
    <t>BURNDOWN DATA</t>
  </si>
  <si>
    <t>TOTAL HOURS</t>
  </si>
  <si>
    <t>DAY</t>
  </si>
  <si>
    <t xml:space="preserve">     ^  Enter number of days</t>
  </si>
  <si>
    <t>PLAN</t>
  </si>
  <si>
    <t>Enter hours completed per day ----&gt;</t>
  </si>
  <si>
    <t>HRS COMPLETED</t>
  </si>
  <si>
    <t>HRS REMAINING</t>
  </si>
  <si>
    <t>CLICK HERE TO CREATE SCRUM PROJECT MANAGEMENT GANTT CHART TEMPLATES IN SMARTSHEET</t>
  </si>
  <si>
    <t>RELEASE BACKLOG</t>
  </si>
  <si>
    <t>PRIORITY</t>
  </si>
  <si>
    <t>FUNCTIONALITY</t>
  </si>
  <si>
    <t>TASK DESCRIPTION</t>
  </si>
  <si>
    <t>WORK ESTIMATE IN HOURS</t>
  </si>
  <si>
    <t>STATUS</t>
  </si>
  <si>
    <t>NOTES</t>
  </si>
  <si>
    <t>STATUS KEY</t>
  </si>
  <si>
    <t>High</t>
  </si>
  <si>
    <t>Having the whole environment ready</t>
  </si>
  <si>
    <t>Setup of the Environment</t>
  </si>
  <si>
    <t>In this sprint our objective was to have all the basics structure implemented and documentation ready</t>
  </si>
  <si>
    <t>Completed</t>
  </si>
  <si>
    <t>Not Started</t>
  </si>
  <si>
    <t>Implementing the Authentication and Authorization System</t>
  </si>
  <si>
    <t>Backend Development</t>
  </si>
  <si>
    <t>In this sprint our objective was to develop a registration and authentication system for the user</t>
  </si>
  <si>
    <t>In Progress</t>
  </si>
  <si>
    <t>Implementing the User Management and Role-Based Access</t>
  </si>
  <si>
    <t>Backend/Frontend Development</t>
  </si>
  <si>
    <t>In this sprint our objective was to develop the user area with all the related user's action.</t>
  </si>
  <si>
    <t>Implementing the Ticket Management System</t>
  </si>
  <si>
    <t>In this sprint our objective was to develop a platform for the managing of the tickets</t>
  </si>
  <si>
    <t>Implementing the Comment System</t>
  </si>
  <si>
    <t xml:space="preserve">In this sprint our objective was to implement a comment system </t>
  </si>
  <si>
    <t>Medium</t>
  </si>
  <si>
    <t>Finalization of the system</t>
  </si>
  <si>
    <t>Frontend Development,Finalization and testing</t>
  </si>
  <si>
    <t>In this sprint I want to implement new features and make sure everything works without any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</si>
</sst>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34">
    <font>
      <sz val="12.0"/>
      <color rgb="FF000000"/>
      <name val="Corbel"/>
      <scheme val="minor"/>
    </font>
    <font>
      <b/>
      <sz val="24.0"/>
      <color theme="1"/>
      <name val="Corbel"/>
      <scheme val="minor"/>
    </font>
    <font>
      <b/>
      <sz val="24.0"/>
      <color rgb="FF345D7E"/>
      <name val="Arial"/>
    </font>
    <font>
      <b/>
      <sz val="10.0"/>
      <color rgb="FF558BB7"/>
      <name val="Arial"/>
    </font>
    <font>
      <b/>
      <sz val="16.0"/>
      <color rgb="FF7F7F7F"/>
      <name val="Arial"/>
    </font>
    <font>
      <b/>
      <sz val="9.0"/>
      <color rgb="FF000000"/>
      <name val="Arial"/>
    </font>
    <font>
      <sz val="12.0"/>
      <color theme="1"/>
      <name val="Corbel"/>
    </font>
    <font>
      <sz val="12.0"/>
      <color rgb="FF000000"/>
      <name val="Corbel"/>
    </font>
    <font>
      <color theme="1"/>
      <name val="Corbel"/>
      <scheme val="minor"/>
    </font>
    <font/>
    <font>
      <b/>
      <sz val="10.0"/>
      <color rgb="FFFFFFFF"/>
      <name val="Arial"/>
    </font>
    <font>
      <b/>
      <sz val="6.0"/>
      <color rgb="FF000000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sz val="9.0"/>
      <color theme="1"/>
      <name val="Arial"/>
    </font>
    <font>
      <sz val="9.0"/>
      <color rgb="FF80875A"/>
      <name val="Arial"/>
    </font>
    <font>
      <sz val="10.0"/>
      <color rgb="FF80875A"/>
      <name val="Arial"/>
    </font>
    <font>
      <b/>
      <sz val="15.0"/>
      <color rgb="FF000000"/>
      <name val="Arial"/>
    </font>
    <font>
      <b/>
      <sz val="8.0"/>
      <color rgb="FF7F7F7F"/>
      <name val="Arial"/>
    </font>
    <font>
      <b/>
      <sz val="10.0"/>
      <color rgb="FF7F7F7F"/>
      <name val="Arial"/>
    </font>
    <font>
      <b/>
      <sz val="11.0"/>
      <color rgb="FF7F7F7F"/>
      <name val="Arial"/>
    </font>
    <font>
      <sz val="11.0"/>
      <color rgb="FF578278"/>
      <name val="Arial"/>
    </font>
    <font>
      <sz val="7.0"/>
      <color rgb="FF578278"/>
      <name val="Arial"/>
    </font>
    <font>
      <b/>
      <sz val="12.0"/>
      <color rgb="FFFFFFFF"/>
      <name val="Arial"/>
    </font>
    <font>
      <b/>
      <sz val="24.0"/>
      <color rgb="FF345D7E"/>
      <name val="Calibri"/>
    </font>
    <font>
      <b/>
      <sz val="10.0"/>
      <color rgb="FF558BB7"/>
      <name val="Calibri"/>
    </font>
    <font>
      <b/>
      <sz val="16.0"/>
      <color rgb="FF7F7F7F"/>
      <name val="Calibri"/>
    </font>
    <font>
      <b/>
      <sz val="9.0"/>
      <color rgb="FF000000"/>
      <name val="Calibri"/>
    </font>
    <font>
      <sz val="9.0"/>
      <color rgb="FF000000"/>
      <name val="Calibri"/>
    </font>
    <font>
      <b/>
      <sz val="10.0"/>
      <color rgb="FF000000"/>
      <name val="Calibri"/>
    </font>
    <font>
      <sz val="9.0"/>
      <color rgb="FF7B3C16"/>
      <name val="Arial"/>
    </font>
    <font>
      <sz val="9.0"/>
      <color rgb="FF7C5F1D"/>
      <name val="Arial"/>
    </font>
    <font>
      <sz val="9.0"/>
      <color rgb="FF716767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4EDEB"/>
        <bgColor rgb="FFE4EDE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ADBD7"/>
        <bgColor rgb="FFCADBD7"/>
      </patternFill>
    </fill>
    <fill>
      <patternFill patternType="solid">
        <fgColor rgb="FFAFCAC4"/>
        <bgColor rgb="FFAFCAC4"/>
      </patternFill>
    </fill>
    <fill>
      <patternFill patternType="solid">
        <fgColor rgb="FF7BA79D"/>
        <bgColor rgb="FF7BA79D"/>
      </patternFill>
    </fill>
    <fill>
      <patternFill patternType="solid">
        <fgColor rgb="FF578278"/>
        <bgColor rgb="FF578278"/>
      </patternFill>
    </fill>
    <fill>
      <patternFill patternType="solid">
        <fgColor rgb="FF006100"/>
        <bgColor rgb="FF006100"/>
      </patternFill>
    </fill>
    <fill>
      <patternFill patternType="solid">
        <fgColor rgb="FF558BB7"/>
        <bgColor rgb="FF558BB7"/>
      </patternFill>
    </fill>
    <fill>
      <patternFill patternType="solid">
        <fgColor rgb="FFB85B22"/>
        <bgColor rgb="FFB85B22"/>
      </patternFill>
    </fill>
    <fill>
      <patternFill patternType="solid">
        <fgColor rgb="FF80875A"/>
        <bgColor rgb="FF80875A"/>
      </patternFill>
    </fill>
    <fill>
      <patternFill patternType="solid">
        <fgColor rgb="FF345D7E"/>
        <bgColor rgb="FF345D7E"/>
      </patternFill>
    </fill>
    <fill>
      <patternFill patternType="solid">
        <fgColor rgb="FFBA8E2C"/>
        <bgColor rgb="FFBA8E2C"/>
      </patternFill>
    </fill>
    <fill>
      <patternFill patternType="solid">
        <fgColor rgb="FFD4E1EC"/>
        <bgColor rgb="FFD4E1EC"/>
      </patternFill>
    </fill>
    <fill>
      <patternFill patternType="solid">
        <fgColor rgb="FFC6EFCE"/>
        <bgColor rgb="FFC6EFCE"/>
      </patternFill>
    </fill>
    <fill>
      <patternFill patternType="solid">
        <fgColor rgb="FFF1CCB5"/>
        <bgColor rgb="FFF1CCB5"/>
      </patternFill>
    </fill>
    <fill>
      <patternFill patternType="solid">
        <fgColor rgb="FFDADDCC"/>
        <bgColor rgb="FFDADDCC"/>
      </patternFill>
    </fill>
    <fill>
      <patternFill patternType="solid">
        <fgColor rgb="FFEFE0BD"/>
        <bgColor rgb="FFEFE0BD"/>
      </patternFill>
    </fill>
    <fill>
      <patternFill patternType="solid">
        <fgColor rgb="FFF2F2F2"/>
        <bgColor rgb="FFF2F2F2"/>
      </patternFill>
    </fill>
    <fill>
      <patternFill patternType="solid">
        <fgColor rgb="FF3C78D8"/>
        <bgColor rgb="FF3C78D8"/>
      </patternFill>
    </fill>
    <fill>
      <patternFill patternType="solid">
        <fgColor rgb="FFE9F0F5"/>
        <bgColor rgb="FFE9F0F5"/>
      </patternFill>
    </fill>
    <fill>
      <patternFill patternType="solid">
        <fgColor rgb="FFF8E5DA"/>
        <bgColor rgb="FFF8E5DA"/>
      </patternFill>
    </fill>
    <fill>
      <patternFill patternType="solid">
        <fgColor rgb="FFECEEE5"/>
        <bgColor rgb="FFECEEE5"/>
      </patternFill>
    </fill>
    <fill>
      <patternFill patternType="solid">
        <fgColor rgb="FFF7EFDE"/>
        <bgColor rgb="FFF7EFDE"/>
      </patternFill>
    </fill>
    <fill>
      <patternFill patternType="solid">
        <fgColor rgb="FFF1C232"/>
        <bgColor rgb="FFF1C232"/>
      </patternFill>
    </fill>
    <fill>
      <patternFill patternType="solid">
        <fgColor rgb="FFE9E7E7"/>
        <bgColor rgb="FFE9E7E7"/>
      </patternFill>
    </fill>
  </fills>
  <borders count="37">
    <border/>
    <border>
      <right style="medium">
        <color rgb="FFA5A5A5"/>
      </right>
    </border>
    <border>
      <left style="medium">
        <color rgb="FFA5A5A5"/>
      </left>
      <right/>
      <top style="medium">
        <color rgb="FFA5A5A5"/>
      </top>
    </border>
    <border>
      <left style="thin">
        <color rgb="FFA5A5A5"/>
      </left>
      <right style="thin">
        <color rgb="FFA5A5A5"/>
      </right>
      <top style="medium">
        <color rgb="FFA5A5A5"/>
      </top>
      <bottom style="thin">
        <color rgb="FFA5A5A5"/>
      </bottom>
    </border>
    <border>
      <left style="thin">
        <color rgb="FFA5A5A5"/>
      </left>
      <top style="medium">
        <color rgb="FFA5A5A5"/>
      </top>
      <bottom style="thin">
        <color rgb="FFA5A5A5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A5A5A5"/>
      </left>
      <right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medium">
        <color rgb="FFA5A5A5"/>
      </right>
      <bottom style="thin">
        <color rgb="FFA5A5A5"/>
      </bottom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/>
      <bottom style="thin">
        <color rgb="FFA5A5A5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A5A5A5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medium">
        <color rgb="FFA5A5A5"/>
      </bottom>
    </border>
    <border>
      <left style="medium">
        <color rgb="FFA5A5A5"/>
      </left>
      <right style="medium">
        <color rgb="FFA5A5A5"/>
      </right>
      <top style="thin">
        <color rgb="FFBFBFBF"/>
      </top>
    </border>
    <border>
      <left style="medium">
        <color rgb="FFA5A5A5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vertical="center"/>
    </xf>
    <xf borderId="2" fillId="2" fontId="5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ill="1" applyFont="1">
      <alignment horizontal="center" shrinkToFit="0" vertical="center" wrapText="1"/>
    </xf>
    <xf borderId="3" fillId="3" fontId="6" numFmtId="0" xfId="0" applyBorder="1" applyFont="1"/>
    <xf borderId="3" fillId="3" fontId="3" numFmtId="0" xfId="0" applyAlignment="1" applyBorder="1" applyFont="1">
      <alignment horizontal="left" vertical="center"/>
    </xf>
    <xf borderId="3" fillId="4" fontId="6" numFmtId="0" xfId="0" applyBorder="1" applyFill="1" applyFont="1"/>
    <xf borderId="3" fillId="5" fontId="7" numFmtId="0" xfId="0" applyBorder="1" applyFill="1" applyFont="1"/>
    <xf borderId="4" fillId="5" fontId="7" numFmtId="0" xfId="0" applyBorder="1" applyFont="1"/>
    <xf borderId="5" fillId="0" fontId="8" numFmtId="0" xfId="0" applyBorder="1" applyFont="1"/>
    <xf borderId="6" fillId="0" fontId="9" numFmtId="0" xfId="0" applyBorder="1" applyFont="1"/>
    <xf borderId="7" fillId="6" fontId="5" numFmtId="0" xfId="0" applyAlignment="1" applyBorder="1" applyFill="1" applyFont="1">
      <alignment horizontal="center" shrinkToFit="0" vertical="center" wrapText="1"/>
    </xf>
    <xf borderId="7" fillId="5" fontId="3" numFmtId="0" xfId="0" applyAlignment="1" applyBorder="1" applyFont="1">
      <alignment horizontal="left" vertical="center"/>
    </xf>
    <xf borderId="7" fillId="5" fontId="7" numFmtId="0" xfId="0" applyBorder="1" applyFont="1"/>
    <xf borderId="7" fillId="0" fontId="3" numFmtId="0" xfId="0" applyAlignment="1" applyBorder="1" applyFont="1">
      <alignment horizontal="left" vertical="center"/>
    </xf>
    <xf borderId="7" fillId="5" fontId="5" numFmtId="0" xfId="0" applyAlignment="1" applyBorder="1" applyFon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7" fillId="6" fontId="7" numFmtId="0" xfId="0" applyBorder="1" applyFont="1"/>
    <xf borderId="8" fillId="6" fontId="7" numFmtId="0" xfId="0" applyBorder="1" applyFont="1"/>
    <xf borderId="7" fillId="7" fontId="5" numFmtId="0" xfId="0" applyAlignment="1" applyBorder="1" applyFill="1" applyFont="1">
      <alignment horizontal="center" shrinkToFit="0" vertical="center" wrapText="1"/>
    </xf>
    <xf borderId="7" fillId="4" fontId="7" numFmtId="0" xfId="0" applyBorder="1" applyFont="1"/>
    <xf borderId="9" fillId="7" fontId="7" numFmtId="0" xfId="0" applyBorder="1" applyFont="1"/>
    <xf borderId="9" fillId="5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7" fillId="8" fontId="5" numFmtId="0" xfId="0" applyAlignment="1" applyBorder="1" applyFill="1" applyFont="1">
      <alignment horizontal="center" readingOrder="0" shrinkToFit="0" vertical="center" wrapText="1"/>
    </xf>
    <xf borderId="7" fillId="8" fontId="7" numFmtId="0" xfId="0" applyBorder="1" applyFont="1"/>
    <xf borderId="7" fillId="0" fontId="7" numFmtId="0" xfId="0" applyBorder="1" applyFont="1"/>
    <xf borderId="11" fillId="0" fontId="7" numFmtId="0" xfId="0" applyBorder="1" applyFont="1"/>
    <xf borderId="7" fillId="9" fontId="5" numFmtId="0" xfId="0" applyAlignment="1" applyBorder="1" applyFill="1" applyFont="1">
      <alignment horizontal="center" readingOrder="0" shrinkToFit="0" vertical="center" wrapText="1"/>
    </xf>
    <xf borderId="7" fillId="9" fontId="7" numFmtId="0" xfId="0" applyBorder="1" applyFont="1"/>
    <xf borderId="12" fillId="0" fontId="9" numFmtId="0" xfId="0" applyBorder="1" applyFont="1"/>
    <xf borderId="7" fillId="10" fontId="5" numFmtId="0" xfId="0" applyAlignment="1" applyBorder="1" applyFill="1" applyFont="1">
      <alignment horizontal="center" readingOrder="0" shrinkToFit="0" vertical="center" wrapText="1"/>
    </xf>
    <xf borderId="7" fillId="10" fontId="7" numFmtId="0" xfId="0" applyBorder="1" applyFont="1"/>
    <xf borderId="11" fillId="10" fontId="7" numFmtId="0" xfId="0" applyBorder="1" applyFont="1"/>
    <xf borderId="13" fillId="2" fontId="5" numFmtId="0" xfId="0" applyAlignment="1" applyBorder="1" applyFont="1">
      <alignment horizontal="center" shrinkToFit="0" vertical="center" wrapText="1"/>
    </xf>
    <xf borderId="13" fillId="2" fontId="5" numFmtId="0" xfId="0" applyAlignment="1" applyBorder="1" applyFont="1">
      <alignment horizontal="center" readingOrder="0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5" fillId="0" fontId="9" numFmtId="0" xfId="0" applyBorder="1" applyFont="1"/>
    <xf borderId="16" fillId="0" fontId="9" numFmtId="0" xfId="0" applyBorder="1" applyFont="1"/>
    <xf borderId="14" fillId="11" fontId="10" numFmtId="0" xfId="0" applyAlignment="1" applyBorder="1" applyFill="1" applyFont="1">
      <alignment horizontal="center" vertical="center"/>
    </xf>
    <xf borderId="14" fillId="8" fontId="10" numFmtId="0" xfId="0" applyAlignment="1" applyBorder="1" applyFont="1">
      <alignment horizontal="center" vertical="center"/>
    </xf>
    <xf borderId="14" fillId="12" fontId="10" numFmtId="0" xfId="0" applyAlignment="1" applyBorder="1" applyFill="1" applyFont="1">
      <alignment horizontal="center" vertical="center"/>
    </xf>
    <xf borderId="14" fillId="13" fontId="10" numFmtId="0" xfId="0" applyAlignment="1" applyBorder="1" applyFill="1" applyFont="1">
      <alignment horizontal="center" vertical="center"/>
    </xf>
    <xf borderId="14" fillId="14" fontId="10" numFmtId="0" xfId="0" applyAlignment="1" applyBorder="1" applyFill="1" applyFont="1">
      <alignment horizontal="center" vertical="center"/>
    </xf>
    <xf borderId="14" fillId="15" fontId="10" numFmtId="0" xfId="0" applyAlignment="1" applyBorder="1" applyFill="1" applyFont="1">
      <alignment horizontal="center" vertical="center"/>
    </xf>
    <xf borderId="17" fillId="0" fontId="9" numFmtId="0" xfId="0" applyBorder="1" applyFont="1"/>
    <xf borderId="5" fillId="2" fontId="5" numFmtId="0" xfId="0" applyAlignment="1" applyBorder="1" applyFont="1">
      <alignment horizontal="center" shrinkToFit="0" vertical="center" wrapText="1"/>
    </xf>
    <xf borderId="5" fillId="2" fontId="11" numFmtId="0" xfId="0" applyAlignment="1" applyBorder="1" applyFont="1">
      <alignment horizontal="center" shrinkToFit="0" vertical="center" wrapText="1"/>
    </xf>
    <xf borderId="5" fillId="16" fontId="12" numFmtId="0" xfId="0" applyAlignment="1" applyBorder="1" applyFill="1" applyFont="1">
      <alignment horizontal="center" vertical="center"/>
    </xf>
    <xf borderId="5" fillId="17" fontId="12" numFmtId="0" xfId="0" applyAlignment="1" applyBorder="1" applyFill="1" applyFont="1">
      <alignment horizontal="center" vertical="center"/>
    </xf>
    <xf borderId="5" fillId="18" fontId="12" numFmtId="0" xfId="0" applyAlignment="1" applyBorder="1" applyFill="1" applyFont="1">
      <alignment horizontal="center" vertical="center"/>
    </xf>
    <xf borderId="5" fillId="19" fontId="12" numFmtId="0" xfId="0" applyAlignment="1" applyBorder="1" applyFill="1" applyFont="1">
      <alignment horizontal="center" vertical="center"/>
    </xf>
    <xf borderId="5" fillId="20" fontId="12" numFmtId="0" xfId="0" applyAlignment="1" applyBorder="1" applyFill="1" applyFont="1">
      <alignment horizontal="center" vertical="center"/>
    </xf>
    <xf borderId="5" fillId="21" fontId="13" numFmtId="49" xfId="0" applyAlignment="1" applyBorder="1" applyFill="1" applyFont="1" applyNumberFormat="1">
      <alignment horizontal="left" vertical="center"/>
    </xf>
    <xf borderId="5" fillId="2" fontId="13" numFmtId="0" xfId="0" applyAlignment="1" applyBorder="1" applyFont="1">
      <alignment horizontal="left" readingOrder="0" vertical="center"/>
    </xf>
    <xf borderId="5" fillId="2" fontId="13" numFmtId="0" xfId="0" applyAlignment="1" applyBorder="1" applyFont="1">
      <alignment horizontal="left" vertical="center"/>
    </xf>
    <xf borderId="5" fillId="2" fontId="13" numFmtId="0" xfId="0" applyAlignment="1" applyBorder="1" applyFont="1">
      <alignment horizontal="center" vertical="center"/>
    </xf>
    <xf borderId="5" fillId="2" fontId="13" numFmtId="1" xfId="0" applyAlignment="1" applyBorder="1" applyFont="1" applyNumberFormat="1">
      <alignment horizontal="center" vertical="center"/>
    </xf>
    <xf borderId="5" fillId="2" fontId="5" numFmtId="9" xfId="0" applyAlignment="1" applyBorder="1" applyFont="1" applyNumberFormat="1">
      <alignment horizontal="center" vertical="center"/>
    </xf>
    <xf borderId="5" fillId="2" fontId="14" numFmtId="0" xfId="0" applyBorder="1" applyFont="1"/>
    <xf borderId="5" fillId="21" fontId="13" numFmtId="49" xfId="0" applyAlignment="1" applyBorder="1" applyFont="1" applyNumberFormat="1">
      <alignment horizontal="left" readingOrder="0" vertical="center"/>
    </xf>
    <xf borderId="5" fillId="0" fontId="13" numFmtId="0" xfId="0" applyAlignment="1" applyBorder="1" applyFont="1">
      <alignment horizontal="left" readingOrder="0" vertical="center"/>
    </xf>
    <xf borderId="5" fillId="0" fontId="13" numFmtId="0" xfId="0" applyAlignment="1" applyBorder="1" applyFont="1">
      <alignment horizontal="center" readingOrder="0" vertical="center"/>
    </xf>
    <xf borderId="5" fillId="21" fontId="13" numFmtId="0" xfId="0" applyAlignment="1" applyBorder="1" applyFont="1">
      <alignment horizontal="center" vertical="center"/>
    </xf>
    <xf borderId="5" fillId="0" fontId="13" numFmtId="164" xfId="0" applyAlignment="1" applyBorder="1" applyFont="1" applyNumberFormat="1">
      <alignment horizontal="center" readingOrder="0" vertical="center"/>
    </xf>
    <xf borderId="5" fillId="21" fontId="13" numFmtId="1" xfId="0" applyAlignment="1" applyBorder="1" applyFont="1" applyNumberFormat="1">
      <alignment horizontal="center" vertical="center"/>
    </xf>
    <xf borderId="5" fillId="5" fontId="5" numFmtId="9" xfId="0" applyAlignment="1" applyBorder="1" applyFont="1" applyNumberFormat="1">
      <alignment horizontal="center" vertical="center"/>
    </xf>
    <xf borderId="5" fillId="22" fontId="14" numFmtId="0" xfId="0" applyBorder="1" applyFill="1" applyFont="1"/>
    <xf borderId="5" fillId="23" fontId="14" numFmtId="0" xfId="0" applyBorder="1" applyFill="1" applyFont="1"/>
    <xf borderId="5" fillId="0" fontId="14" numFmtId="0" xfId="0" applyBorder="1" applyFont="1"/>
    <xf borderId="5" fillId="17" fontId="14" numFmtId="0" xfId="0" applyBorder="1" applyFont="1"/>
    <xf borderId="5" fillId="4" fontId="14" numFmtId="0" xfId="0" applyBorder="1" applyFont="1"/>
    <xf borderId="5" fillId="24" fontId="14" numFmtId="0" xfId="0" applyBorder="1" applyFill="1" applyFont="1"/>
    <xf borderId="5" fillId="25" fontId="14" numFmtId="0" xfId="0" applyBorder="1" applyFill="1" applyFont="1"/>
    <xf borderId="5" fillId="16" fontId="14" numFmtId="0" xfId="0" applyBorder="1" applyFont="1"/>
    <xf borderId="5" fillId="26" fontId="14" numFmtId="0" xfId="0" applyBorder="1" applyFill="1" applyFont="1"/>
    <xf borderId="5" fillId="5" fontId="14" numFmtId="0" xfId="0" applyBorder="1" applyFont="1"/>
    <xf borderId="5" fillId="2" fontId="13" numFmtId="164" xfId="0" applyAlignment="1" applyBorder="1" applyFont="1" applyNumberFormat="1">
      <alignment horizontal="center" vertical="center"/>
    </xf>
    <xf borderId="5" fillId="0" fontId="13" numFmtId="165" xfId="0" applyAlignment="1" applyBorder="1" applyFont="1" applyNumberFormat="1">
      <alignment horizontal="center" readingOrder="0" vertical="center"/>
    </xf>
    <xf borderId="5" fillId="8" fontId="14" numFmtId="0" xfId="0" applyBorder="1" applyFont="1"/>
    <xf borderId="13" fillId="8" fontId="14" numFmtId="0" xfId="0" applyBorder="1" applyFont="1"/>
    <xf borderId="14" fillId="0" fontId="14" numFmtId="0" xfId="0" applyBorder="1" applyFont="1"/>
    <xf borderId="16" fillId="17" fontId="14" numFmtId="0" xfId="0" applyBorder="1" applyFont="1"/>
    <xf borderId="17" fillId="0" fontId="14" numFmtId="0" xfId="0" applyBorder="1" applyFont="1"/>
    <xf borderId="5" fillId="0" fontId="13" numFmtId="0" xfId="0" applyAlignment="1" applyBorder="1" applyFont="1">
      <alignment horizontal="left" vertical="center"/>
    </xf>
    <xf borderId="5" fillId="12" fontId="14" numFmtId="0" xfId="0" applyBorder="1" applyFont="1"/>
    <xf borderId="5" fillId="17" fontId="8" numFmtId="0" xfId="0" applyBorder="1" applyFont="1"/>
    <xf borderId="5" fillId="21" fontId="13" numFmtId="0" xfId="0" applyAlignment="1" applyBorder="1" applyFont="1">
      <alignment horizontal="center" readingOrder="0" vertical="center"/>
    </xf>
    <xf borderId="0" fillId="0" fontId="15" numFmtId="0" xfId="0" applyAlignment="1" applyFont="1">
      <alignment readingOrder="0"/>
    </xf>
    <xf borderId="5" fillId="13" fontId="14" numFmtId="0" xfId="0" applyBorder="1" applyFont="1"/>
    <xf borderId="5" fillId="13" fontId="15" numFmtId="0" xfId="0" applyBorder="1" applyFont="1"/>
    <xf borderId="5" fillId="0" fontId="15" numFmtId="0" xfId="0" applyBorder="1" applyFont="1"/>
    <xf borderId="5" fillId="25" fontId="15" numFmtId="0" xfId="0" applyBorder="1" applyFont="1"/>
    <xf borderId="5" fillId="16" fontId="8" numFmtId="0" xfId="0" applyBorder="1" applyFont="1"/>
    <xf borderId="0" fillId="0" fontId="15" numFmtId="0" xfId="0" applyFont="1"/>
    <xf borderId="5" fillId="0" fontId="15" numFmtId="0" xfId="0" applyAlignment="1" applyBorder="1" applyFont="1">
      <alignment readingOrder="0"/>
    </xf>
    <xf borderId="5" fillId="0" fontId="15" numFmtId="0" xfId="0" applyAlignment="1" applyBorder="1" applyFont="1">
      <alignment horizontal="center" readingOrder="0"/>
    </xf>
    <xf borderId="5" fillId="23" fontId="15" numFmtId="0" xfId="0" applyBorder="1" applyFont="1"/>
    <xf borderId="5" fillId="17" fontId="15" numFmtId="0" xfId="0" applyBorder="1" applyFont="1"/>
    <xf borderId="5" fillId="4" fontId="15" numFmtId="0" xfId="0" applyBorder="1" applyFont="1"/>
    <xf borderId="5" fillId="24" fontId="15" numFmtId="0" xfId="0" applyBorder="1" applyFont="1"/>
    <xf borderId="5" fillId="16" fontId="15" numFmtId="0" xfId="0" applyBorder="1" applyFont="1"/>
    <xf borderId="5" fillId="26" fontId="15" numFmtId="0" xfId="0" applyBorder="1" applyFont="1"/>
    <xf borderId="5" fillId="4" fontId="16" numFmtId="0" xfId="0" applyBorder="1" applyFont="1"/>
    <xf borderId="5" fillId="4" fontId="17" numFmtId="0" xfId="0" applyBorder="1" applyFont="1"/>
    <xf borderId="5" fillId="13" fontId="16" numFmtId="0" xfId="0" applyBorder="1" applyFont="1"/>
    <xf borderId="5" fillId="13" fontId="17" numFmtId="0" xfId="0" applyBorder="1" applyFont="1"/>
    <xf borderId="5" fillId="2" fontId="13" numFmtId="0" xfId="0" applyAlignment="1" applyBorder="1" applyFont="1">
      <alignment horizontal="center" readingOrder="0" vertical="center"/>
    </xf>
    <xf borderId="5" fillId="5" fontId="5" numFmtId="9" xfId="0" applyAlignment="1" applyBorder="1" applyFont="1" applyNumberFormat="1">
      <alignment horizontal="center"/>
    </xf>
    <xf borderId="5" fillId="21" fontId="13" numFmtId="49" xfId="0" applyAlignment="1" applyBorder="1" applyFont="1" applyNumberFormat="1">
      <alignment horizontal="left" readingOrder="0"/>
    </xf>
    <xf borderId="5" fillId="21" fontId="13" numFmtId="0" xfId="0" applyAlignment="1" applyBorder="1" applyFont="1">
      <alignment horizontal="center" readingOrder="0"/>
    </xf>
    <xf borderId="5" fillId="21" fontId="13" numFmtId="1" xfId="0" applyAlignment="1" applyBorder="1" applyFont="1" applyNumberFormat="1">
      <alignment horizontal="center"/>
    </xf>
    <xf borderId="5" fillId="14" fontId="15" numFmtId="0" xfId="0" applyBorder="1" applyFont="1"/>
    <xf borderId="5" fillId="14" fontId="8" numFmtId="0" xfId="0" applyBorder="1" applyFont="1"/>
    <xf borderId="5" fillId="27" fontId="14" numFmtId="0" xfId="0" applyBorder="1" applyFill="1" applyFont="1"/>
    <xf borderId="5" fillId="27" fontId="15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20" numFmtId="0" xfId="0" applyAlignment="1" applyFont="1">
      <alignment horizontal="right" vertical="center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horizontal="center" readingOrder="0" vertical="center"/>
    </xf>
    <xf borderId="7" fillId="2" fontId="5" numFmtId="0" xfId="0" applyAlignment="1" applyBorder="1" applyFont="1">
      <alignment horizontal="right"/>
    </xf>
    <xf borderId="7" fillId="9" fontId="10" numFmtId="0" xfId="0" applyAlignment="1" applyBorder="1" applyFont="1">
      <alignment horizontal="center" vertical="center"/>
    </xf>
    <xf borderId="0" fillId="0" fontId="22" numFmtId="0" xfId="0" applyAlignment="1" applyFont="1">
      <alignment horizontal="left"/>
    </xf>
    <xf borderId="7" fillId="3" fontId="23" numFmtId="0" xfId="0" applyAlignment="1" applyBorder="1" applyFont="1">
      <alignment horizontal="center" vertical="center"/>
    </xf>
    <xf borderId="7" fillId="3" fontId="23" numFmtId="1" xfId="0" applyAlignment="1" applyBorder="1" applyFont="1" applyNumberFormat="1">
      <alignment horizontal="center" readingOrder="0" vertical="center"/>
    </xf>
    <xf borderId="7" fillId="3" fontId="23" numFmtId="1" xfId="0" applyAlignment="1" applyBorder="1" applyFont="1" applyNumberFormat="1">
      <alignment horizontal="center" vertical="center"/>
    </xf>
    <xf borderId="0" fillId="0" fontId="22" numFmtId="0" xfId="0" applyAlignment="1" applyFont="1">
      <alignment horizontal="right"/>
    </xf>
    <xf borderId="7" fillId="0" fontId="13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vertical="center"/>
    </xf>
    <xf borderId="18" fillId="12" fontId="24" numFmtId="0" xfId="0" applyAlignment="1" applyBorder="1" applyFont="1">
      <alignment horizontal="center" vertical="center"/>
    </xf>
    <xf borderId="19" fillId="0" fontId="9" numFmtId="0" xfId="0" applyBorder="1" applyFont="1"/>
    <xf borderId="20" fillId="0" fontId="9" numFmtId="0" xfId="0" applyBorder="1" applyFont="1"/>
    <xf borderId="0" fillId="0" fontId="25" numFmtId="0" xfId="0" applyAlignment="1" applyFont="1">
      <alignment horizontal="left" readingOrder="0" vertical="center"/>
    </xf>
    <xf borderId="0" fillId="0" fontId="26" numFmtId="0" xfId="0" applyAlignment="1" applyFont="1">
      <alignment horizontal="left" vertical="center"/>
    </xf>
    <xf borderId="0" fillId="0" fontId="25" numFmtId="0" xfId="0" applyAlignment="1" applyFont="1">
      <alignment horizontal="left" vertical="center"/>
    </xf>
    <xf borderId="0" fillId="0" fontId="27" numFmtId="0" xfId="0" applyAlignment="1" applyFont="1">
      <alignment horizontal="left" vertical="center"/>
    </xf>
    <xf borderId="21" fillId="2" fontId="28" numFmtId="0" xfId="0" applyAlignment="1" applyBorder="1" applyFont="1">
      <alignment horizontal="center" shrinkToFit="0" vertical="center" wrapText="1"/>
    </xf>
    <xf borderId="22" fillId="2" fontId="28" numFmtId="0" xfId="0" applyAlignment="1" applyBorder="1" applyFont="1">
      <alignment horizontal="center" shrinkToFit="0" vertical="center" wrapText="1"/>
    </xf>
    <xf borderId="23" fillId="2" fontId="28" numFmtId="0" xfId="0" applyAlignment="1" applyBorder="1" applyFont="1">
      <alignment horizontal="center" shrinkToFit="0" vertical="center" wrapText="1"/>
    </xf>
    <xf borderId="24" fillId="2" fontId="28" numFmtId="0" xfId="0" applyAlignment="1" applyBorder="1" applyFont="1">
      <alignment horizontal="center" shrinkToFit="0" vertical="center" wrapText="1"/>
    </xf>
    <xf borderId="25" fillId="2" fontId="5" numFmtId="0" xfId="0" applyAlignment="1" applyBorder="1" applyFont="1">
      <alignment horizontal="center" shrinkToFit="0" vertical="center" wrapText="1"/>
    </xf>
    <xf borderId="26" fillId="0" fontId="29" numFmtId="0" xfId="0" applyAlignment="1" applyBorder="1" applyFont="1">
      <alignment horizontal="left" shrinkToFit="0" vertical="center" wrapText="1"/>
    </xf>
    <xf borderId="27" fillId="0" fontId="29" numFmtId="0" xfId="0" applyAlignment="1" applyBorder="1" applyFont="1">
      <alignment horizontal="left" shrinkToFit="0" vertical="center" wrapText="1"/>
    </xf>
    <xf borderId="28" fillId="0" fontId="29" numFmtId="0" xfId="0" applyAlignment="1" applyBorder="1" applyFont="1">
      <alignment horizontal="left" shrinkToFit="0" vertical="center" wrapText="1"/>
    </xf>
    <xf borderId="28" fillId="0" fontId="30" numFmtId="0" xfId="0" applyAlignment="1" applyBorder="1" applyFont="1">
      <alignment horizontal="center" shrinkToFit="0" vertical="center" wrapText="1"/>
    </xf>
    <xf borderId="29" fillId="0" fontId="29" numFmtId="0" xfId="0" applyAlignment="1" applyBorder="1" applyFont="1">
      <alignment horizontal="center" shrinkToFit="0" vertical="center" wrapText="1"/>
    </xf>
    <xf borderId="29" fillId="0" fontId="29" numFmtId="0" xfId="0" applyAlignment="1" applyBorder="1" applyFont="1">
      <alignment horizontal="left" shrinkToFit="0" vertical="center" wrapText="1"/>
    </xf>
    <xf borderId="30" fillId="24" fontId="31" numFmtId="0" xfId="0" applyAlignment="1" applyBorder="1" applyFont="1">
      <alignment horizontal="center" shrinkToFit="0" vertical="center" wrapText="1"/>
    </xf>
    <xf borderId="30" fillId="0" fontId="12" numFmtId="0" xfId="0" applyAlignment="1" applyBorder="1" applyFont="1">
      <alignment horizontal="center" shrinkToFit="0" vertical="center" wrapText="1"/>
    </xf>
    <xf borderId="27" fillId="0" fontId="29" numFmtId="0" xfId="0" applyAlignment="1" applyBorder="1" applyFont="1">
      <alignment horizontal="left" readingOrder="0" shrinkToFit="0" vertical="center" wrapText="1"/>
    </xf>
    <xf borderId="28" fillId="0" fontId="30" numFmtId="0" xfId="0" applyAlignment="1" applyBorder="1" applyFont="1">
      <alignment horizontal="center" readingOrder="0" shrinkToFit="0" vertical="center" wrapText="1"/>
    </xf>
    <xf borderId="30" fillId="26" fontId="32" numFmtId="0" xfId="0" applyAlignment="1" applyBorder="1" applyFont="1">
      <alignment horizontal="center" shrinkToFit="0" vertical="center" wrapText="1"/>
    </xf>
    <xf borderId="31" fillId="28" fontId="33" numFmtId="0" xfId="0" applyAlignment="1" applyBorder="1" applyFill="1" applyFont="1">
      <alignment horizontal="center" shrinkToFit="0" vertical="center" wrapText="1"/>
    </xf>
    <xf borderId="29" fillId="0" fontId="29" numFmtId="0" xfId="0" applyAlignment="1" applyBorder="1" applyFont="1">
      <alignment horizontal="center" readingOrder="0" shrinkToFit="0" vertical="center" wrapText="1"/>
    </xf>
    <xf borderId="29" fillId="0" fontId="13" numFmtId="0" xfId="0" applyAlignment="1" applyBorder="1" applyFont="1">
      <alignment horizontal="left" shrinkToFit="0" vertical="center" wrapText="1"/>
    </xf>
    <xf borderId="26" fillId="0" fontId="29" numFmtId="0" xfId="0" applyAlignment="1" applyBorder="1" applyFont="1">
      <alignment horizontal="left" readingOrder="0" shrinkToFit="0" vertical="center" wrapText="1"/>
    </xf>
    <xf borderId="26" fillId="0" fontId="13" numFmtId="0" xfId="0" applyAlignment="1" applyBorder="1" applyFont="1">
      <alignment horizontal="left" shrinkToFit="0" vertical="center" wrapText="1"/>
    </xf>
    <xf borderId="27" fillId="0" fontId="13" numFmtId="0" xfId="0" applyAlignment="1" applyBorder="1" applyFont="1">
      <alignment horizontal="left" shrinkToFit="0" vertical="center" wrapText="1"/>
    </xf>
    <xf borderId="28" fillId="0" fontId="13" numFmtId="0" xfId="0" applyAlignment="1" applyBorder="1" applyFont="1">
      <alignment horizontal="left"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29" fillId="0" fontId="13" numFmtId="0" xfId="0" applyAlignment="1" applyBorder="1" applyFont="1">
      <alignment horizontal="center" shrinkToFit="0" vertical="center" wrapText="1"/>
    </xf>
    <xf borderId="32" fillId="0" fontId="12" numFmtId="0" xfId="0" applyAlignment="1" applyBorder="1" applyFont="1">
      <alignment horizontal="center" readingOrder="0" shrinkToFit="0" vertical="center" wrapText="1"/>
    </xf>
    <xf borderId="31" fillId="0" fontId="12" numFmtId="0" xfId="0" applyAlignment="1" applyBorder="1" applyFont="1">
      <alignment horizontal="center" shrinkToFit="0" vertical="center" wrapText="1"/>
    </xf>
    <xf borderId="33" fillId="0" fontId="13" numFmtId="0" xfId="0" applyAlignment="1" applyBorder="1" applyFont="1">
      <alignment horizontal="left" shrinkToFit="0" vertical="center" wrapText="1"/>
    </xf>
    <xf borderId="34" fillId="0" fontId="13" numFmtId="0" xfId="0" applyAlignment="1" applyBorder="1" applyFont="1">
      <alignment horizontal="left" shrinkToFit="0" vertical="center" wrapText="1"/>
    </xf>
    <xf borderId="35" fillId="0" fontId="13" numFmtId="0" xfId="0" applyAlignment="1" applyBorder="1" applyFont="1">
      <alignment horizontal="left" shrinkToFit="0" vertical="center" wrapText="1"/>
    </xf>
    <xf borderId="36" fillId="0" fontId="13" numFmtId="0" xfId="0" applyAlignment="1" applyBorder="1" applyFont="1">
      <alignment horizontal="center" shrinkToFit="0" vertical="center" wrapText="1"/>
    </xf>
    <xf borderId="36" fillId="0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595959"/>
                </a:solidFill>
                <a:latin typeface="Roboto"/>
              </a:defRPr>
            </a:pPr>
            <a:r>
              <a:rPr b="1" i="0" sz="1400">
                <a:solidFill>
                  <a:srgbClr val="595959"/>
                </a:solidFill>
                <a:latin typeface="Roboto"/>
              </a:rPr>
              <a:t>BURNDOWN CHART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HRS COMPLETED</c:v>
          </c:tx>
          <c:spPr>
            <a:solidFill>
              <a:srgbClr val="A5AB8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1F2A27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'Chart &amp; Burndown'!$M$57:$BT$57</c:f>
            </c:strRef>
          </c:cat>
          <c:val>
            <c:numRef>
              <c:f>'Chart &amp; Burndown'!$M$60:$BT$60</c:f>
              <c:numCache/>
            </c:numRef>
          </c:val>
        </c:ser>
        <c:axId val="1951633800"/>
        <c:axId val="1871841248"/>
      </c:barChart>
      <c:lineChart>
        <c:ser>
          <c:idx val="1"/>
          <c:order val="1"/>
          <c:tx>
            <c:v>PLAN</c:v>
          </c:tx>
          <c:spPr>
            <a:ln cmpd="sng" w="19050">
              <a:solidFill>
                <a:srgbClr val="94B6D2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'Chart &amp; Burndown'!$M$57:$BT$57</c:f>
            </c:strRef>
          </c:cat>
          <c:val>
            <c:numRef>
              <c:f>'Chart &amp; Burndown'!$M$58:$BT$58</c:f>
              <c:numCache/>
            </c:numRef>
          </c:val>
          <c:smooth val="0"/>
        </c:ser>
        <c:ser>
          <c:idx val="2"/>
          <c:order val="2"/>
          <c:tx>
            <c:v>ESTIMATE</c:v>
          </c:tx>
          <c:spPr>
            <a:ln cmpd="sng" w="19050">
              <a:solidFill>
                <a:srgbClr val="DD8047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'Chart &amp; Burndown'!$M$57:$BT$57</c:f>
            </c:strRef>
          </c:cat>
          <c:val>
            <c:numRef>
              <c:f>'Chart &amp; Burndown'!$M$59:$BT$59</c:f>
              <c:numCache/>
            </c:numRef>
          </c:val>
          <c:smooth val="0"/>
        </c:ser>
        <c:ser>
          <c:idx val="3"/>
          <c:order val="3"/>
          <c:tx>
            <c:v>HRS REMAINING</c:v>
          </c:tx>
          <c:spPr>
            <a:ln cmpd="sng" w="19050">
              <a:solidFill>
                <a:srgbClr val="D8B25C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'Chart &amp; Burndown'!$M$57:$BT$57</c:f>
            </c:strRef>
          </c:cat>
          <c:val>
            <c:numRef>
              <c:f>'Chart &amp; Burndown'!$M$61:$BT$61</c:f>
              <c:numCache/>
            </c:numRef>
          </c:val>
          <c:smooth val="0"/>
        </c:ser>
        <c:axId val="1951633800"/>
        <c:axId val="1871841248"/>
      </c:lineChart>
      <c:catAx>
        <c:axId val="1951633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595959"/>
                </a:solidFill>
                <a:latin typeface="Roboto"/>
              </a:defRPr>
            </a:pPr>
          </a:p>
        </c:txPr>
        <c:crossAx val="1871841248"/>
      </c:catAx>
      <c:valAx>
        <c:axId val="1871841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FFFFFF"/>
                </a:solidFill>
                <a:latin typeface="Roboto"/>
              </a:defRPr>
            </a:pPr>
          </a:p>
        </c:txPr>
        <c:crossAx val="1951633800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595959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65</xdr:row>
      <xdr:rowOff>152400</xdr:rowOff>
    </xdr:from>
    <xdr:ext cx="27632025" cy="52101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62</xdr:col>
      <xdr:colOff>0</xdr:colOff>
      <xdr:row>0</xdr:row>
      <xdr:rowOff>38100</xdr:rowOff>
    </xdr:from>
    <xdr:ext cx="2505075" cy="5143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3C16"/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1.89"/>
    <col customWidth="1" min="2" max="2" width="12.0"/>
    <col customWidth="1" min="3" max="3" width="48.0"/>
    <col customWidth="1" min="4" max="4" width="24.89"/>
    <col customWidth="1" min="5" max="5" width="8.89"/>
    <col customWidth="1" min="6" max="6" width="7.0"/>
    <col customWidth="1" min="7" max="7" width="9.0"/>
    <col customWidth="1" min="8" max="8" width="7.0"/>
    <col customWidth="1" min="9" max="9" width="14.44"/>
    <col customWidth="1" min="10" max="10" width="14.22"/>
    <col customWidth="1" min="11" max="11" width="11.44"/>
    <col customWidth="1" min="12" max="12" width="11.67"/>
    <col customWidth="1" min="13" max="73" width="2.33"/>
    <col customWidth="1" min="74" max="74" width="3.22"/>
    <col customWidth="1" min="75" max="75" width="3.78"/>
    <col customWidth="1" min="76" max="76" width="2.44"/>
    <col customWidth="1" min="77" max="77" width="3.0"/>
    <col customWidth="1" min="78" max="78" width="2.56"/>
    <col customWidth="1" min="79" max="79" width="3.11"/>
    <col customWidth="1" min="80" max="80" width="2.22"/>
    <col customWidth="1" min="81" max="81" width="2.78"/>
    <col customWidth="1" min="82" max="82" width="2.89"/>
    <col customWidth="1" min="83" max="83" width="10.44"/>
    <col customWidth="1" min="84" max="87" width="8.67"/>
  </cols>
  <sheetData>
    <row r="1" ht="36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36.0" customHeight="1">
      <c r="B2" s="4" t="s">
        <v>1</v>
      </c>
      <c r="C2" s="3"/>
      <c r="D2" s="3"/>
      <c r="E2" s="3"/>
      <c r="F2" s="5"/>
      <c r="G2" s="3"/>
      <c r="H2" s="3"/>
      <c r="I2" s="3"/>
      <c r="J2" s="3"/>
      <c r="K2" s="3"/>
      <c r="L2" s="3"/>
    </row>
    <row r="3" ht="18.0" customHeight="1">
      <c r="B3" s="6"/>
      <c r="C3" s="6"/>
      <c r="D3" s="6"/>
      <c r="E3" s="6"/>
      <c r="F3" s="6"/>
      <c r="G3" s="6"/>
      <c r="H3" s="6"/>
      <c r="I3" s="6"/>
      <c r="J3" s="7"/>
      <c r="K3" s="8" t="s">
        <v>2</v>
      </c>
      <c r="L3" s="9" t="s">
        <v>3</v>
      </c>
      <c r="M3" s="10"/>
      <c r="N3" s="10"/>
      <c r="O3" s="10"/>
      <c r="P3" s="10"/>
      <c r="Q3" s="10"/>
      <c r="R3" s="10"/>
      <c r="S3" s="11"/>
      <c r="T3" s="11"/>
      <c r="U3" s="11"/>
      <c r="V3" s="10"/>
      <c r="W3" s="12"/>
      <c r="X3" s="12"/>
      <c r="Y3" s="12"/>
      <c r="Z3" s="12"/>
      <c r="AA3" s="12"/>
      <c r="AB3" s="13"/>
      <c r="AC3" s="13"/>
      <c r="AD3" s="13"/>
      <c r="AE3" s="13"/>
      <c r="AF3" s="14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</row>
    <row r="4" ht="18.0" customHeight="1">
      <c r="B4" s="6"/>
      <c r="C4" s="6"/>
      <c r="D4" s="6"/>
      <c r="E4" s="6"/>
      <c r="F4" s="6"/>
      <c r="G4" s="6"/>
      <c r="H4" s="6"/>
      <c r="I4" s="6"/>
      <c r="J4" s="7"/>
      <c r="K4" s="16"/>
      <c r="L4" s="17" t="s">
        <v>4</v>
      </c>
      <c r="M4" s="18"/>
      <c r="N4" s="19"/>
      <c r="O4" s="20"/>
      <c r="P4" s="19"/>
      <c r="Q4" s="21"/>
      <c r="R4" s="21"/>
      <c r="S4" s="21"/>
      <c r="T4" s="21"/>
      <c r="U4" s="22"/>
      <c r="V4" s="22"/>
      <c r="W4" s="17"/>
      <c r="X4" s="17"/>
      <c r="Y4" s="17"/>
      <c r="Z4" s="23"/>
      <c r="AA4" s="23"/>
      <c r="AB4" s="23"/>
      <c r="AC4" s="23"/>
      <c r="AD4" s="23"/>
      <c r="AE4" s="23"/>
      <c r="AF4" s="24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</row>
    <row r="5" ht="18.0" customHeight="1">
      <c r="B5" s="5"/>
      <c r="C5" s="3"/>
      <c r="D5" s="3"/>
      <c r="E5" s="3"/>
      <c r="F5" s="3"/>
      <c r="G5" s="3"/>
      <c r="H5" s="3"/>
      <c r="I5" s="5"/>
      <c r="J5" s="3"/>
      <c r="K5" s="16"/>
      <c r="L5" s="25" t="s">
        <v>5</v>
      </c>
      <c r="M5" s="18"/>
      <c r="N5" s="20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26"/>
      <c r="AA5" s="26"/>
      <c r="AB5" s="26"/>
      <c r="AC5" s="26"/>
      <c r="AD5" s="26"/>
      <c r="AE5" s="26"/>
      <c r="AF5" s="26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30"/>
    </row>
    <row r="6" ht="18.0" customHeight="1">
      <c r="B6" s="5"/>
      <c r="C6" s="3"/>
      <c r="D6" s="3"/>
      <c r="E6" s="3"/>
      <c r="F6" s="3"/>
      <c r="G6" s="3"/>
      <c r="H6" s="3"/>
      <c r="I6" s="5"/>
      <c r="J6" s="3"/>
      <c r="K6" s="16"/>
      <c r="L6" s="31" t="s">
        <v>6</v>
      </c>
      <c r="M6" s="18"/>
      <c r="N6" s="20"/>
      <c r="O6" s="20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19"/>
      <c r="BB6" s="19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4"/>
    </row>
    <row r="7" ht="18.0" customHeight="1">
      <c r="B7" s="5"/>
      <c r="C7" s="3"/>
      <c r="D7" s="3"/>
      <c r="E7" s="3"/>
      <c r="F7" s="3"/>
      <c r="G7" s="3"/>
      <c r="H7" s="3"/>
      <c r="I7" s="5"/>
      <c r="J7" s="3"/>
      <c r="K7" s="16"/>
      <c r="L7" s="35" t="s">
        <v>7</v>
      </c>
      <c r="M7" s="18"/>
      <c r="N7" s="20"/>
      <c r="O7" s="20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3"/>
      <c r="BL7" s="33"/>
      <c r="BM7" s="33"/>
      <c r="BN7" s="33"/>
      <c r="BO7" s="33"/>
      <c r="BP7" s="33"/>
      <c r="BQ7" s="33"/>
      <c r="BR7" s="33"/>
      <c r="BS7" s="33"/>
      <c r="BT7" s="34"/>
    </row>
    <row r="8" ht="18.0" customHeight="1">
      <c r="B8" s="5"/>
      <c r="C8" s="3"/>
      <c r="D8" s="3"/>
      <c r="E8" s="3"/>
      <c r="F8" s="3"/>
      <c r="G8" s="3"/>
      <c r="H8" s="3"/>
      <c r="I8" s="5"/>
      <c r="J8" s="3"/>
      <c r="K8" s="37"/>
      <c r="L8" s="38" t="s">
        <v>8</v>
      </c>
      <c r="M8" s="18"/>
      <c r="N8" s="20"/>
      <c r="O8" s="20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33"/>
      <c r="BD8" s="33"/>
      <c r="BE8" s="33"/>
      <c r="BF8" s="33"/>
      <c r="BG8" s="33"/>
      <c r="BH8" s="33"/>
      <c r="BI8" s="33"/>
      <c r="BJ8" s="33"/>
      <c r="BK8" s="39"/>
      <c r="BL8" s="39"/>
      <c r="BM8" s="39"/>
      <c r="BN8" s="39"/>
      <c r="BO8" s="39"/>
      <c r="BP8" s="39"/>
      <c r="BQ8" s="39"/>
      <c r="BR8" s="39"/>
      <c r="BS8" s="39"/>
      <c r="BT8" s="40"/>
    </row>
    <row r="9" ht="18.0" customHeight="1">
      <c r="K9" s="5"/>
      <c r="L9" s="3"/>
      <c r="M9" s="3"/>
      <c r="N9" s="3"/>
      <c r="O9" s="3"/>
      <c r="P9" s="3"/>
      <c r="Q9" s="3"/>
      <c r="R9" s="5"/>
      <c r="S9" s="3"/>
      <c r="T9" s="5"/>
      <c r="U9" s="3"/>
      <c r="V9" s="3"/>
      <c r="W9" s="3"/>
      <c r="X9" s="3"/>
      <c r="Y9" s="3"/>
      <c r="Z9" s="3"/>
      <c r="AA9" s="5"/>
      <c r="AB9" s="3"/>
      <c r="AC9" s="5"/>
      <c r="AD9" s="3"/>
      <c r="AE9" s="3"/>
      <c r="AF9" s="3"/>
      <c r="AG9" s="3"/>
      <c r="AH9" s="3"/>
      <c r="AI9" s="3"/>
      <c r="AJ9" s="5"/>
      <c r="AK9" s="3"/>
      <c r="AL9" s="5"/>
      <c r="AM9" s="3"/>
      <c r="AN9" s="3"/>
      <c r="AO9" s="3"/>
      <c r="AP9" s="3"/>
      <c r="AQ9" s="3"/>
      <c r="AR9" s="3"/>
      <c r="AS9" s="5"/>
      <c r="AT9" s="3"/>
      <c r="AU9" s="5"/>
      <c r="AV9" s="3"/>
      <c r="AW9" s="3"/>
      <c r="AX9" s="3"/>
      <c r="AY9" s="3"/>
      <c r="AZ9" s="3"/>
      <c r="BA9" s="3"/>
      <c r="BB9" s="5"/>
      <c r="BC9" s="3"/>
      <c r="BD9" s="5"/>
      <c r="BE9" s="3"/>
      <c r="BF9" s="3"/>
      <c r="BG9" s="3"/>
      <c r="BH9" s="3"/>
      <c r="BI9" s="3"/>
      <c r="BJ9" s="3"/>
      <c r="BK9" s="5"/>
      <c r="BL9" s="3"/>
      <c r="BM9" s="5"/>
      <c r="BN9" s="3"/>
      <c r="BO9" s="3"/>
      <c r="BP9" s="3"/>
      <c r="BQ9" s="3"/>
      <c r="BR9" s="3"/>
      <c r="BS9" s="3"/>
      <c r="BT9" s="5"/>
      <c r="BU9" s="3"/>
    </row>
    <row r="10" ht="18.0" customHeight="1">
      <c r="B10" s="41" t="s">
        <v>9</v>
      </c>
      <c r="C10" s="42" t="s">
        <v>10</v>
      </c>
      <c r="D10" s="41" t="s">
        <v>11</v>
      </c>
      <c r="E10" s="43" t="s">
        <v>12</v>
      </c>
      <c r="F10" s="44"/>
      <c r="G10" s="45"/>
      <c r="H10" s="41" t="s">
        <v>13</v>
      </c>
      <c r="I10" s="41" t="s">
        <v>14</v>
      </c>
      <c r="J10" s="41" t="s">
        <v>15</v>
      </c>
      <c r="K10" s="41" t="s">
        <v>16</v>
      </c>
      <c r="L10" s="41" t="s">
        <v>17</v>
      </c>
      <c r="M10" s="46" t="s">
        <v>18</v>
      </c>
      <c r="N10" s="44"/>
      <c r="O10" s="44"/>
      <c r="P10" s="44"/>
      <c r="Q10" s="45"/>
      <c r="R10" s="46" t="s">
        <v>19</v>
      </c>
      <c r="S10" s="44"/>
      <c r="T10" s="44"/>
      <c r="U10" s="44"/>
      <c r="V10" s="45"/>
      <c r="W10" s="47" t="s">
        <v>20</v>
      </c>
      <c r="X10" s="44"/>
      <c r="Y10" s="44"/>
      <c r="Z10" s="44"/>
      <c r="AA10" s="45"/>
      <c r="AB10" s="47" t="s">
        <v>21</v>
      </c>
      <c r="AC10" s="44"/>
      <c r="AD10" s="44"/>
      <c r="AE10" s="44"/>
      <c r="AF10" s="45"/>
      <c r="AG10" s="48" t="s">
        <v>22</v>
      </c>
      <c r="AH10" s="44"/>
      <c r="AI10" s="44"/>
      <c r="AJ10" s="44"/>
      <c r="AK10" s="45"/>
      <c r="AL10" s="48" t="s">
        <v>23</v>
      </c>
      <c r="AM10" s="44"/>
      <c r="AN10" s="44"/>
      <c r="AO10" s="44"/>
      <c r="AP10" s="45"/>
      <c r="AQ10" s="49" t="s">
        <v>24</v>
      </c>
      <c r="AR10" s="44"/>
      <c r="AS10" s="44"/>
      <c r="AT10" s="44"/>
      <c r="AU10" s="45"/>
      <c r="AV10" s="49" t="s">
        <v>25</v>
      </c>
      <c r="AW10" s="44"/>
      <c r="AX10" s="44"/>
      <c r="AY10" s="44"/>
      <c r="AZ10" s="45"/>
      <c r="BA10" s="50" t="s">
        <v>26</v>
      </c>
      <c r="BB10" s="44"/>
      <c r="BC10" s="44"/>
      <c r="BD10" s="44"/>
      <c r="BE10" s="45"/>
      <c r="BF10" s="50" t="s">
        <v>27</v>
      </c>
      <c r="BG10" s="44"/>
      <c r="BH10" s="44"/>
      <c r="BI10" s="44"/>
      <c r="BJ10" s="45"/>
      <c r="BK10" s="51" t="s">
        <v>28</v>
      </c>
      <c r="BL10" s="44"/>
      <c r="BM10" s="44"/>
      <c r="BN10" s="44"/>
      <c r="BO10" s="45"/>
      <c r="BP10" s="51" t="s">
        <v>29</v>
      </c>
      <c r="BQ10" s="44"/>
      <c r="BR10" s="44"/>
      <c r="BS10" s="44"/>
      <c r="BT10" s="45"/>
    </row>
    <row r="11" ht="18.0" customHeight="1">
      <c r="B11" s="52"/>
      <c r="C11" s="52"/>
      <c r="D11" s="52"/>
      <c r="E11" s="53" t="s">
        <v>30</v>
      </c>
      <c r="F11" s="54" t="s">
        <v>31</v>
      </c>
      <c r="G11" s="53" t="s">
        <v>32</v>
      </c>
      <c r="H11" s="52"/>
      <c r="I11" s="52"/>
      <c r="J11" s="52"/>
      <c r="K11" s="52"/>
      <c r="L11" s="52"/>
      <c r="M11" s="55" t="s">
        <v>33</v>
      </c>
      <c r="N11" s="55" t="s">
        <v>34</v>
      </c>
      <c r="O11" s="55" t="s">
        <v>35</v>
      </c>
      <c r="P11" s="55" t="s">
        <v>34</v>
      </c>
      <c r="Q11" s="55" t="s">
        <v>36</v>
      </c>
      <c r="R11" s="55" t="s">
        <v>33</v>
      </c>
      <c r="S11" s="55" t="s">
        <v>34</v>
      </c>
      <c r="T11" s="55" t="s">
        <v>35</v>
      </c>
      <c r="U11" s="55" t="s">
        <v>34</v>
      </c>
      <c r="V11" s="55" t="s">
        <v>36</v>
      </c>
      <c r="W11" s="56" t="s">
        <v>33</v>
      </c>
      <c r="X11" s="56" t="s">
        <v>34</v>
      </c>
      <c r="Y11" s="56" t="s">
        <v>35</v>
      </c>
      <c r="Z11" s="56" t="s">
        <v>34</v>
      </c>
      <c r="AA11" s="56" t="s">
        <v>36</v>
      </c>
      <c r="AB11" s="56" t="s">
        <v>33</v>
      </c>
      <c r="AC11" s="56" t="s">
        <v>34</v>
      </c>
      <c r="AD11" s="56" t="s">
        <v>35</v>
      </c>
      <c r="AE11" s="56" t="s">
        <v>34</v>
      </c>
      <c r="AF11" s="56" t="s">
        <v>36</v>
      </c>
      <c r="AG11" s="57" t="s">
        <v>33</v>
      </c>
      <c r="AH11" s="57" t="s">
        <v>34</v>
      </c>
      <c r="AI11" s="57" t="s">
        <v>35</v>
      </c>
      <c r="AJ11" s="57" t="s">
        <v>34</v>
      </c>
      <c r="AK11" s="57" t="s">
        <v>36</v>
      </c>
      <c r="AL11" s="57" t="s">
        <v>33</v>
      </c>
      <c r="AM11" s="57" t="s">
        <v>34</v>
      </c>
      <c r="AN11" s="57" t="s">
        <v>35</v>
      </c>
      <c r="AO11" s="57" t="s">
        <v>34</v>
      </c>
      <c r="AP11" s="57" t="s">
        <v>36</v>
      </c>
      <c r="AQ11" s="58" t="s">
        <v>33</v>
      </c>
      <c r="AR11" s="58" t="s">
        <v>34</v>
      </c>
      <c r="AS11" s="58" t="s">
        <v>35</v>
      </c>
      <c r="AT11" s="58" t="s">
        <v>34</v>
      </c>
      <c r="AU11" s="58" t="s">
        <v>36</v>
      </c>
      <c r="AV11" s="58" t="s">
        <v>33</v>
      </c>
      <c r="AW11" s="58" t="s">
        <v>34</v>
      </c>
      <c r="AX11" s="58" t="s">
        <v>35</v>
      </c>
      <c r="AY11" s="58" t="s">
        <v>34</v>
      </c>
      <c r="AZ11" s="58" t="s">
        <v>36</v>
      </c>
      <c r="BA11" s="55" t="s">
        <v>33</v>
      </c>
      <c r="BB11" s="55" t="s">
        <v>34</v>
      </c>
      <c r="BC11" s="55" t="s">
        <v>35</v>
      </c>
      <c r="BD11" s="55" t="s">
        <v>34</v>
      </c>
      <c r="BE11" s="55" t="s">
        <v>36</v>
      </c>
      <c r="BF11" s="55" t="s">
        <v>33</v>
      </c>
      <c r="BG11" s="55" t="s">
        <v>34</v>
      </c>
      <c r="BH11" s="55" t="s">
        <v>35</v>
      </c>
      <c r="BI11" s="55" t="s">
        <v>34</v>
      </c>
      <c r="BJ11" s="55" t="s">
        <v>36</v>
      </c>
      <c r="BK11" s="59" t="s">
        <v>33</v>
      </c>
      <c r="BL11" s="59" t="s">
        <v>34</v>
      </c>
      <c r="BM11" s="59" t="s">
        <v>35</v>
      </c>
      <c r="BN11" s="59" t="s">
        <v>34</v>
      </c>
      <c r="BO11" s="59" t="s">
        <v>36</v>
      </c>
      <c r="BP11" s="59" t="s">
        <v>33</v>
      </c>
      <c r="BQ11" s="59" t="s">
        <v>34</v>
      </c>
      <c r="BR11" s="59" t="s">
        <v>35</v>
      </c>
      <c r="BS11" s="59" t="s">
        <v>34</v>
      </c>
      <c r="BT11" s="59" t="s">
        <v>36</v>
      </c>
    </row>
    <row r="12" ht="18.0" customHeight="1">
      <c r="B12" s="60">
        <v>1.0</v>
      </c>
      <c r="C12" s="61" t="s">
        <v>37</v>
      </c>
      <c r="D12" s="62"/>
      <c r="E12" s="63">
        <f t="shared" ref="E12:F12" si="1">SUM(E13:E17)</f>
        <v>37</v>
      </c>
      <c r="F12" s="63">
        <f t="shared" si="1"/>
        <v>37</v>
      </c>
      <c r="G12" s="63">
        <f>SUM(E12-F12)</f>
        <v>0</v>
      </c>
      <c r="H12" s="62"/>
      <c r="I12" s="63"/>
      <c r="J12" s="63"/>
      <c r="K12" s="64"/>
      <c r="L12" s="65">
        <f t="shared" ref="L12:L53" si="2">F12/E12</f>
        <v>1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</row>
    <row r="13" ht="18.0" customHeight="1">
      <c r="B13" s="67" t="s">
        <v>38</v>
      </c>
      <c r="C13" s="68" t="s">
        <v>39</v>
      </c>
      <c r="D13" s="68" t="s">
        <v>40</v>
      </c>
      <c r="E13" s="69">
        <v>8.0</v>
      </c>
      <c r="F13" s="69">
        <v>8.0</v>
      </c>
      <c r="G13" s="70">
        <f t="shared" ref="G13:G17" si="3">E13-F13</f>
        <v>0</v>
      </c>
      <c r="H13" s="68">
        <v>1.0</v>
      </c>
      <c r="I13" s="71">
        <v>45768.0</v>
      </c>
      <c r="J13" s="71">
        <v>45772.0</v>
      </c>
      <c r="K13" s="72">
        <f t="shared" ref="K13:K17" si="4">J13-I13+1</f>
        <v>5</v>
      </c>
      <c r="L13" s="73">
        <f t="shared" si="2"/>
        <v>1</v>
      </c>
      <c r="M13" s="74"/>
      <c r="N13" s="74"/>
      <c r="O13" s="74"/>
      <c r="P13" s="74"/>
      <c r="Q13" s="74"/>
      <c r="R13" s="75"/>
      <c r="S13" s="75"/>
      <c r="T13" s="75"/>
      <c r="U13" s="75"/>
      <c r="V13" s="75"/>
      <c r="W13" s="76"/>
      <c r="X13" s="76"/>
      <c r="Y13" s="76"/>
      <c r="Z13" s="76"/>
      <c r="AA13" s="76"/>
      <c r="AB13" s="77"/>
      <c r="AC13" s="77"/>
      <c r="AD13" s="77"/>
      <c r="AE13" s="77"/>
      <c r="AF13" s="77"/>
      <c r="AG13" s="78"/>
      <c r="AH13" s="78"/>
      <c r="AI13" s="78"/>
      <c r="AJ13" s="78"/>
      <c r="AK13" s="78"/>
      <c r="AL13" s="79"/>
      <c r="AM13" s="79"/>
      <c r="AN13" s="79"/>
      <c r="AO13" s="79"/>
      <c r="AP13" s="79"/>
      <c r="AQ13" s="76"/>
      <c r="AR13" s="76"/>
      <c r="AS13" s="76"/>
      <c r="AT13" s="76"/>
      <c r="AU13" s="76"/>
      <c r="AV13" s="80"/>
      <c r="AW13" s="80"/>
      <c r="AX13" s="80"/>
      <c r="AY13" s="80"/>
      <c r="AZ13" s="80"/>
      <c r="BA13" s="76"/>
      <c r="BB13" s="76"/>
      <c r="BC13" s="76"/>
      <c r="BD13" s="76"/>
      <c r="BE13" s="76"/>
      <c r="BF13" s="81"/>
      <c r="BG13" s="81"/>
      <c r="BH13" s="81"/>
      <c r="BI13" s="81"/>
      <c r="BJ13" s="81"/>
      <c r="BK13" s="78"/>
      <c r="BL13" s="78"/>
      <c r="BM13" s="78"/>
      <c r="BN13" s="78"/>
      <c r="BO13" s="78"/>
      <c r="BP13" s="82"/>
      <c r="BQ13" s="82"/>
      <c r="BR13" s="82"/>
      <c r="BS13" s="82"/>
      <c r="BT13" s="82"/>
    </row>
    <row r="14" ht="18.0" customHeight="1">
      <c r="B14" s="67" t="s">
        <v>41</v>
      </c>
      <c r="C14" s="68" t="s">
        <v>42</v>
      </c>
      <c r="D14" s="68" t="s">
        <v>43</v>
      </c>
      <c r="E14" s="69">
        <v>5.0</v>
      </c>
      <c r="F14" s="69">
        <v>5.0</v>
      </c>
      <c r="G14" s="70">
        <f t="shared" si="3"/>
        <v>0</v>
      </c>
      <c r="H14" s="68">
        <v>1.0</v>
      </c>
      <c r="I14" s="71">
        <v>45768.0</v>
      </c>
      <c r="J14" s="71">
        <v>45770.0</v>
      </c>
      <c r="K14" s="72">
        <f t="shared" si="4"/>
        <v>3</v>
      </c>
      <c r="L14" s="73">
        <f t="shared" si="2"/>
        <v>1</v>
      </c>
      <c r="M14" s="74"/>
      <c r="N14" s="74"/>
      <c r="O14" s="74"/>
      <c r="P14" s="76"/>
      <c r="Q14" s="76"/>
      <c r="R14" s="75"/>
      <c r="S14" s="75"/>
      <c r="T14" s="75"/>
      <c r="U14" s="75"/>
      <c r="V14" s="75"/>
      <c r="W14" s="76"/>
      <c r="X14" s="76"/>
      <c r="Y14" s="76"/>
      <c r="Z14" s="76"/>
      <c r="AA14" s="76"/>
      <c r="AB14" s="77"/>
      <c r="AC14" s="77"/>
      <c r="AD14" s="77"/>
      <c r="AE14" s="77"/>
      <c r="AF14" s="77"/>
      <c r="AG14" s="78"/>
      <c r="AH14" s="78"/>
      <c r="AI14" s="78"/>
      <c r="AJ14" s="78"/>
      <c r="AK14" s="78"/>
      <c r="AL14" s="79"/>
      <c r="AM14" s="79"/>
      <c r="AN14" s="79"/>
      <c r="AO14" s="79"/>
      <c r="AP14" s="79"/>
      <c r="AQ14" s="76"/>
      <c r="AR14" s="76"/>
      <c r="AS14" s="76"/>
      <c r="AT14" s="76"/>
      <c r="AU14" s="76"/>
      <c r="AV14" s="80"/>
      <c r="AW14" s="80"/>
      <c r="AX14" s="80"/>
      <c r="AY14" s="80"/>
      <c r="AZ14" s="80"/>
      <c r="BA14" s="76"/>
      <c r="BB14" s="76"/>
      <c r="BC14" s="76"/>
      <c r="BD14" s="76"/>
      <c r="BE14" s="76"/>
      <c r="BF14" s="81"/>
      <c r="BG14" s="81"/>
      <c r="BH14" s="81"/>
      <c r="BI14" s="81"/>
      <c r="BJ14" s="81"/>
      <c r="BK14" s="78"/>
      <c r="BL14" s="78"/>
      <c r="BM14" s="78"/>
      <c r="BN14" s="78"/>
      <c r="BO14" s="78"/>
      <c r="BP14" s="82"/>
      <c r="BQ14" s="82"/>
      <c r="BR14" s="82"/>
      <c r="BS14" s="82"/>
      <c r="BT14" s="82"/>
    </row>
    <row r="15" ht="18.0" customHeight="1">
      <c r="B15" s="67" t="s">
        <v>44</v>
      </c>
      <c r="C15" s="68" t="s">
        <v>45</v>
      </c>
      <c r="D15" s="68" t="s">
        <v>40</v>
      </c>
      <c r="E15" s="69">
        <v>8.0</v>
      </c>
      <c r="F15" s="69">
        <v>8.0</v>
      </c>
      <c r="G15" s="70">
        <f t="shared" si="3"/>
        <v>0</v>
      </c>
      <c r="H15" s="68">
        <v>1.0</v>
      </c>
      <c r="I15" s="71">
        <v>45775.0</v>
      </c>
      <c r="J15" s="71">
        <v>45779.0</v>
      </c>
      <c r="K15" s="72">
        <f t="shared" si="4"/>
        <v>5</v>
      </c>
      <c r="L15" s="73">
        <f t="shared" si="2"/>
        <v>1</v>
      </c>
      <c r="M15" s="83"/>
      <c r="N15" s="83"/>
      <c r="O15" s="83"/>
      <c r="P15" s="83"/>
      <c r="Q15" s="83"/>
      <c r="R15" s="74"/>
      <c r="S15" s="74"/>
      <c r="T15" s="74"/>
      <c r="U15" s="75"/>
      <c r="V15" s="74"/>
      <c r="W15" s="76"/>
      <c r="X15" s="76"/>
      <c r="Y15" s="76"/>
      <c r="Z15" s="76"/>
      <c r="AA15" s="76"/>
      <c r="AB15" s="77"/>
      <c r="AC15" s="77"/>
      <c r="AD15" s="77"/>
      <c r="AE15" s="77"/>
      <c r="AF15" s="77"/>
      <c r="AG15" s="78"/>
      <c r="AH15" s="78"/>
      <c r="AI15" s="78"/>
      <c r="AJ15" s="78"/>
      <c r="AK15" s="78"/>
      <c r="AL15" s="79"/>
      <c r="AM15" s="79"/>
      <c r="AN15" s="79"/>
      <c r="AO15" s="79"/>
      <c r="AP15" s="79"/>
      <c r="AQ15" s="76"/>
      <c r="AR15" s="76"/>
      <c r="AS15" s="76"/>
      <c r="AT15" s="76"/>
      <c r="AU15" s="76"/>
      <c r="AV15" s="80"/>
      <c r="AW15" s="80"/>
      <c r="AX15" s="80"/>
      <c r="AY15" s="80"/>
      <c r="AZ15" s="80"/>
      <c r="BA15" s="76"/>
      <c r="BB15" s="76"/>
      <c r="BC15" s="76"/>
      <c r="BD15" s="76"/>
      <c r="BE15" s="76"/>
      <c r="BF15" s="81"/>
      <c r="BG15" s="81"/>
      <c r="BH15" s="81"/>
      <c r="BI15" s="81"/>
      <c r="BJ15" s="81"/>
      <c r="BK15" s="78"/>
      <c r="BL15" s="78"/>
      <c r="BM15" s="78"/>
      <c r="BN15" s="78"/>
      <c r="BO15" s="78"/>
      <c r="BP15" s="82"/>
      <c r="BQ15" s="82"/>
      <c r="BR15" s="82"/>
      <c r="BS15" s="82"/>
      <c r="BT15" s="82"/>
    </row>
    <row r="16" ht="18.0" customHeight="1">
      <c r="B16" s="67" t="s">
        <v>46</v>
      </c>
      <c r="C16" s="68" t="s">
        <v>47</v>
      </c>
      <c r="D16" s="68" t="s">
        <v>48</v>
      </c>
      <c r="E16" s="69">
        <v>10.0</v>
      </c>
      <c r="F16" s="69">
        <v>10.0</v>
      </c>
      <c r="G16" s="70">
        <f t="shared" si="3"/>
        <v>0</v>
      </c>
      <c r="H16" s="68">
        <v>1.0</v>
      </c>
      <c r="I16" s="71">
        <v>45771.0</v>
      </c>
      <c r="J16" s="71">
        <v>45779.0</v>
      </c>
      <c r="K16" s="72">
        <f t="shared" si="4"/>
        <v>9</v>
      </c>
      <c r="L16" s="73">
        <f t="shared" si="2"/>
        <v>1</v>
      </c>
      <c r="M16" s="83"/>
      <c r="N16" s="83"/>
      <c r="O16" s="83"/>
      <c r="P16" s="74"/>
      <c r="Q16" s="74"/>
      <c r="R16" s="74"/>
      <c r="S16" s="74"/>
      <c r="T16" s="74"/>
      <c r="U16" s="75"/>
      <c r="V16" s="74"/>
      <c r="W16" s="76"/>
      <c r="X16" s="76"/>
      <c r="Y16" s="76"/>
      <c r="Z16" s="76"/>
      <c r="AA16" s="76"/>
      <c r="AB16" s="77"/>
      <c r="AC16" s="77"/>
      <c r="AD16" s="77"/>
      <c r="AE16" s="77"/>
      <c r="AF16" s="77"/>
      <c r="AG16" s="78"/>
      <c r="AH16" s="78"/>
      <c r="AI16" s="78"/>
      <c r="AJ16" s="78"/>
      <c r="AK16" s="78"/>
      <c r="AL16" s="79"/>
      <c r="AM16" s="79"/>
      <c r="AN16" s="79"/>
      <c r="AO16" s="79"/>
      <c r="AP16" s="79"/>
      <c r="AQ16" s="76"/>
      <c r="AR16" s="76"/>
      <c r="AS16" s="76"/>
      <c r="AT16" s="76"/>
      <c r="AU16" s="76"/>
      <c r="AV16" s="80"/>
      <c r="AW16" s="80"/>
      <c r="AX16" s="80"/>
      <c r="AY16" s="80"/>
      <c r="AZ16" s="80"/>
      <c r="BA16" s="76"/>
      <c r="BB16" s="76"/>
      <c r="BC16" s="76"/>
      <c r="BD16" s="76"/>
      <c r="BE16" s="76"/>
      <c r="BF16" s="81"/>
      <c r="BG16" s="81"/>
      <c r="BH16" s="81"/>
      <c r="BI16" s="81"/>
      <c r="BJ16" s="81"/>
      <c r="BK16" s="78"/>
      <c r="BL16" s="78"/>
      <c r="BM16" s="78"/>
      <c r="BN16" s="78"/>
      <c r="BO16" s="78"/>
      <c r="BP16" s="82"/>
      <c r="BQ16" s="82"/>
      <c r="BR16" s="82"/>
      <c r="BS16" s="82"/>
      <c r="BT16" s="82"/>
    </row>
    <row r="17" ht="18.0" customHeight="1">
      <c r="B17" s="67" t="s">
        <v>49</v>
      </c>
      <c r="C17" s="68" t="s">
        <v>50</v>
      </c>
      <c r="D17" s="68" t="s">
        <v>51</v>
      </c>
      <c r="E17" s="69">
        <v>6.0</v>
      </c>
      <c r="F17" s="69">
        <v>6.0</v>
      </c>
      <c r="G17" s="70">
        <f t="shared" si="3"/>
        <v>0</v>
      </c>
      <c r="H17" s="68">
        <v>1.0</v>
      </c>
      <c r="I17" s="71">
        <v>45768.0</v>
      </c>
      <c r="J17" s="71">
        <v>45772.0</v>
      </c>
      <c r="K17" s="72">
        <f t="shared" si="4"/>
        <v>5</v>
      </c>
      <c r="L17" s="73">
        <f t="shared" si="2"/>
        <v>1</v>
      </c>
      <c r="M17" s="74"/>
      <c r="N17" s="74"/>
      <c r="O17" s="74"/>
      <c r="P17" s="74"/>
      <c r="Q17" s="74"/>
      <c r="R17" s="75"/>
      <c r="S17" s="75"/>
      <c r="T17" s="75"/>
      <c r="U17" s="75"/>
      <c r="V17" s="75"/>
      <c r="W17" s="76"/>
      <c r="X17" s="76"/>
      <c r="Y17" s="76"/>
      <c r="Z17" s="76"/>
      <c r="AA17" s="76"/>
      <c r="AB17" s="77"/>
      <c r="AC17" s="77"/>
      <c r="AD17" s="77"/>
      <c r="AE17" s="77"/>
      <c r="AF17" s="77"/>
      <c r="AG17" s="78"/>
      <c r="AH17" s="78"/>
      <c r="AI17" s="78"/>
      <c r="AJ17" s="78"/>
      <c r="AK17" s="78"/>
      <c r="AL17" s="79"/>
      <c r="AM17" s="79"/>
      <c r="AN17" s="79"/>
      <c r="AO17" s="79"/>
      <c r="AP17" s="79"/>
      <c r="AQ17" s="76"/>
      <c r="AR17" s="76"/>
      <c r="AS17" s="76"/>
      <c r="AT17" s="76"/>
      <c r="AU17" s="76"/>
      <c r="AV17" s="80"/>
      <c r="AW17" s="80"/>
      <c r="AX17" s="80"/>
      <c r="AY17" s="80"/>
      <c r="AZ17" s="80"/>
      <c r="BA17" s="76"/>
      <c r="BB17" s="76"/>
      <c r="BC17" s="76"/>
      <c r="BD17" s="76"/>
      <c r="BE17" s="76"/>
      <c r="BF17" s="81"/>
      <c r="BG17" s="81"/>
      <c r="BH17" s="81"/>
      <c r="BI17" s="81"/>
      <c r="BJ17" s="81"/>
      <c r="BK17" s="78"/>
      <c r="BL17" s="78"/>
      <c r="BM17" s="78"/>
      <c r="BN17" s="78"/>
      <c r="BO17" s="78"/>
      <c r="BP17" s="82"/>
      <c r="BQ17" s="82"/>
      <c r="BR17" s="82"/>
      <c r="BS17" s="82"/>
      <c r="BT17" s="82"/>
    </row>
    <row r="18" ht="18.0" customHeight="1">
      <c r="B18" s="60">
        <v>2.0</v>
      </c>
      <c r="C18" s="61" t="s">
        <v>52</v>
      </c>
      <c r="D18" s="62"/>
      <c r="E18" s="63">
        <f t="shared" ref="E18:F18" si="5">SUM(E19:E25)</f>
        <v>44</v>
      </c>
      <c r="F18" s="63">
        <f t="shared" si="5"/>
        <v>44</v>
      </c>
      <c r="G18" s="63">
        <f>SUM(E18-F18)</f>
        <v>0</v>
      </c>
      <c r="H18" s="62"/>
      <c r="I18" s="84"/>
      <c r="J18" s="84"/>
      <c r="K18" s="64">
        <f>SUM(K22:K25)</f>
        <v>15</v>
      </c>
      <c r="L18" s="65">
        <f t="shared" si="2"/>
        <v>1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</row>
    <row r="19" ht="18.0" customHeight="1">
      <c r="B19" s="67" t="s">
        <v>53</v>
      </c>
      <c r="C19" s="68" t="s">
        <v>54</v>
      </c>
      <c r="D19" s="68" t="s">
        <v>48</v>
      </c>
      <c r="E19" s="69">
        <v>9.0</v>
      </c>
      <c r="F19" s="69">
        <v>9.0</v>
      </c>
      <c r="G19" s="70">
        <f t="shared" ref="G19:G25" si="6">E19-F19</f>
        <v>0</v>
      </c>
      <c r="H19" s="68">
        <v>2.0</v>
      </c>
      <c r="I19" s="85">
        <v>45782.0</v>
      </c>
      <c r="J19" s="71">
        <v>45786.0</v>
      </c>
      <c r="K19" s="72">
        <f t="shared" ref="K19:K25" si="7">J19-I19+1</f>
        <v>5</v>
      </c>
      <c r="L19" s="73">
        <f t="shared" si="2"/>
        <v>1</v>
      </c>
      <c r="M19" s="76"/>
      <c r="N19" s="76"/>
      <c r="O19" s="76"/>
      <c r="P19" s="76"/>
      <c r="Q19" s="76"/>
      <c r="R19" s="75"/>
      <c r="S19" s="75"/>
      <c r="T19" s="75"/>
      <c r="U19" s="75"/>
      <c r="V19" s="75"/>
      <c r="W19" s="86"/>
      <c r="X19" s="86"/>
      <c r="Y19" s="86"/>
      <c r="Z19" s="86"/>
      <c r="AA19" s="86"/>
      <c r="AB19" s="77"/>
      <c r="AC19" s="77"/>
      <c r="AD19" s="77"/>
      <c r="AE19" s="77"/>
      <c r="AF19" s="77"/>
      <c r="AG19" s="78"/>
      <c r="AH19" s="78"/>
      <c r="AI19" s="78"/>
      <c r="AJ19" s="78"/>
      <c r="AK19" s="78"/>
      <c r="AL19" s="79"/>
      <c r="AM19" s="79"/>
      <c r="AN19" s="79"/>
      <c r="AO19" s="79"/>
      <c r="AP19" s="79"/>
      <c r="AQ19" s="76"/>
      <c r="AR19" s="76"/>
      <c r="AS19" s="76"/>
      <c r="AT19" s="76"/>
      <c r="AU19" s="76"/>
      <c r="AV19" s="80"/>
      <c r="AW19" s="80"/>
      <c r="AX19" s="80"/>
      <c r="AY19" s="80"/>
      <c r="AZ19" s="80"/>
      <c r="BA19" s="76"/>
      <c r="BB19" s="76"/>
      <c r="BC19" s="76"/>
      <c r="BD19" s="76"/>
      <c r="BE19" s="76"/>
      <c r="BF19" s="81"/>
      <c r="BG19" s="81"/>
      <c r="BH19" s="81"/>
      <c r="BI19" s="81"/>
      <c r="BJ19" s="81"/>
      <c r="BK19" s="78"/>
      <c r="BL19" s="78"/>
      <c r="BM19" s="78"/>
      <c r="BN19" s="78"/>
      <c r="BO19" s="78"/>
      <c r="BP19" s="82"/>
      <c r="BQ19" s="82"/>
      <c r="BR19" s="82"/>
      <c r="BS19" s="82"/>
      <c r="BT19" s="82"/>
    </row>
    <row r="20" ht="18.0" customHeight="1">
      <c r="B20" s="67" t="s">
        <v>55</v>
      </c>
      <c r="C20" s="68" t="s">
        <v>56</v>
      </c>
      <c r="D20" s="68" t="s">
        <v>40</v>
      </c>
      <c r="E20" s="69">
        <v>9.0</v>
      </c>
      <c r="F20" s="69">
        <v>9.0</v>
      </c>
      <c r="G20" s="70">
        <f t="shared" si="6"/>
        <v>0</v>
      </c>
      <c r="H20" s="68">
        <v>2.0</v>
      </c>
      <c r="I20" s="71">
        <v>45782.0</v>
      </c>
      <c r="J20" s="71">
        <v>45786.0</v>
      </c>
      <c r="K20" s="72">
        <f t="shared" si="7"/>
        <v>5</v>
      </c>
      <c r="L20" s="73">
        <f t="shared" si="2"/>
        <v>1</v>
      </c>
      <c r="M20" s="76"/>
      <c r="N20" s="76"/>
      <c r="O20" s="76"/>
      <c r="P20" s="76"/>
      <c r="Q20" s="76"/>
      <c r="R20" s="75"/>
      <c r="S20" s="75"/>
      <c r="T20" s="75"/>
      <c r="U20" s="75"/>
      <c r="V20" s="75"/>
      <c r="W20" s="86"/>
      <c r="X20" s="86"/>
      <c r="Y20" s="86"/>
      <c r="Z20" s="86"/>
      <c r="AA20" s="86"/>
      <c r="AB20" s="77"/>
      <c r="AC20" s="77"/>
      <c r="AD20" s="77"/>
      <c r="AE20" s="77"/>
      <c r="AF20" s="77"/>
      <c r="AG20" s="78"/>
      <c r="AH20" s="78"/>
      <c r="AI20" s="78"/>
      <c r="AJ20" s="78"/>
      <c r="AK20" s="78"/>
      <c r="AL20" s="79"/>
      <c r="AM20" s="79"/>
      <c r="AN20" s="79"/>
      <c r="AO20" s="79"/>
      <c r="AP20" s="79"/>
      <c r="AQ20" s="76"/>
      <c r="AR20" s="76"/>
      <c r="AS20" s="76"/>
      <c r="AT20" s="76"/>
      <c r="AU20" s="76"/>
      <c r="AV20" s="80"/>
      <c r="AW20" s="80"/>
      <c r="AX20" s="80"/>
      <c r="AY20" s="80"/>
      <c r="AZ20" s="80"/>
      <c r="BA20" s="76"/>
      <c r="BB20" s="76"/>
      <c r="BC20" s="76"/>
      <c r="BD20" s="76"/>
      <c r="BE20" s="76"/>
      <c r="BF20" s="81"/>
      <c r="BG20" s="81"/>
      <c r="BH20" s="81"/>
      <c r="BI20" s="81"/>
      <c r="BJ20" s="81"/>
      <c r="BK20" s="78"/>
      <c r="BL20" s="78"/>
      <c r="BM20" s="78"/>
      <c r="BN20" s="78"/>
      <c r="BO20" s="78"/>
      <c r="BP20" s="82"/>
      <c r="BQ20" s="82"/>
      <c r="BR20" s="82"/>
      <c r="BS20" s="82"/>
      <c r="BT20" s="82"/>
    </row>
    <row r="21" ht="18.0" customHeight="1">
      <c r="B21" s="67" t="s">
        <v>57</v>
      </c>
      <c r="C21" s="68" t="s">
        <v>58</v>
      </c>
      <c r="D21" s="68" t="s">
        <v>59</v>
      </c>
      <c r="E21" s="69">
        <v>6.0</v>
      </c>
      <c r="F21" s="69">
        <v>6.0</v>
      </c>
      <c r="G21" s="70">
        <f t="shared" si="6"/>
        <v>0</v>
      </c>
      <c r="H21" s="68">
        <v>2.0</v>
      </c>
      <c r="I21" s="71">
        <v>45789.0</v>
      </c>
      <c r="J21" s="71">
        <v>45791.0</v>
      </c>
      <c r="K21" s="72">
        <f t="shared" si="7"/>
        <v>3</v>
      </c>
      <c r="L21" s="73">
        <f t="shared" si="2"/>
        <v>1</v>
      </c>
      <c r="M21" s="76"/>
      <c r="N21" s="76"/>
      <c r="O21" s="76"/>
      <c r="P21" s="76"/>
      <c r="Q21" s="76"/>
      <c r="R21" s="75"/>
      <c r="S21" s="75"/>
      <c r="T21" s="75"/>
      <c r="U21" s="75"/>
      <c r="V21" s="75"/>
      <c r="W21" s="83"/>
      <c r="X21" s="83"/>
      <c r="Y21" s="83"/>
      <c r="Z21" s="76"/>
      <c r="AA21" s="76"/>
      <c r="AB21" s="86"/>
      <c r="AC21" s="86"/>
      <c r="AD21" s="86"/>
      <c r="AE21" s="77"/>
      <c r="AF21" s="77"/>
      <c r="AG21" s="78"/>
      <c r="AH21" s="78"/>
      <c r="AI21" s="78"/>
      <c r="AJ21" s="78"/>
      <c r="AK21" s="78"/>
      <c r="AL21" s="79"/>
      <c r="AM21" s="79"/>
      <c r="AN21" s="79"/>
      <c r="AO21" s="79"/>
      <c r="AP21" s="79"/>
      <c r="AQ21" s="76"/>
      <c r="AR21" s="76"/>
      <c r="AS21" s="76"/>
      <c r="AT21" s="76"/>
      <c r="AU21" s="76"/>
      <c r="AV21" s="80"/>
      <c r="AW21" s="80"/>
      <c r="AX21" s="80"/>
      <c r="AY21" s="80"/>
      <c r="AZ21" s="80"/>
      <c r="BA21" s="76"/>
      <c r="BB21" s="76"/>
      <c r="BC21" s="76"/>
      <c r="BD21" s="76"/>
      <c r="BE21" s="76"/>
      <c r="BF21" s="81"/>
      <c r="BG21" s="81"/>
      <c r="BH21" s="81"/>
      <c r="BI21" s="81"/>
      <c r="BJ21" s="81"/>
      <c r="BK21" s="78"/>
      <c r="BL21" s="78"/>
      <c r="BM21" s="78"/>
      <c r="BN21" s="78"/>
      <c r="BO21" s="78"/>
      <c r="BP21" s="82"/>
      <c r="BQ21" s="82"/>
      <c r="BR21" s="82"/>
      <c r="BS21" s="82"/>
      <c r="BT21" s="82"/>
    </row>
    <row r="22" ht="18.0" customHeight="1">
      <c r="B22" s="67" t="s">
        <v>60</v>
      </c>
      <c r="C22" s="68" t="s">
        <v>61</v>
      </c>
      <c r="D22" s="68" t="s">
        <v>51</v>
      </c>
      <c r="E22" s="69">
        <v>10.0</v>
      </c>
      <c r="F22" s="69">
        <v>10.0</v>
      </c>
      <c r="G22" s="70">
        <f t="shared" si="6"/>
        <v>0</v>
      </c>
      <c r="H22" s="68">
        <v>2.0</v>
      </c>
      <c r="I22" s="71">
        <v>45775.0</v>
      </c>
      <c r="J22" s="71">
        <v>45784.0</v>
      </c>
      <c r="K22" s="72">
        <f t="shared" si="7"/>
        <v>10</v>
      </c>
      <c r="L22" s="73">
        <f t="shared" si="2"/>
        <v>1</v>
      </c>
      <c r="M22" s="76"/>
      <c r="N22" s="76"/>
      <c r="O22" s="76"/>
      <c r="P22" s="76"/>
      <c r="Q22" s="76"/>
      <c r="R22" s="75"/>
      <c r="S22" s="75"/>
      <c r="T22" s="75"/>
      <c r="U22" s="75"/>
      <c r="V22" s="75"/>
      <c r="W22" s="86"/>
      <c r="X22" s="86"/>
      <c r="Y22" s="86"/>
      <c r="Z22" s="76"/>
      <c r="AA22" s="76"/>
      <c r="AB22" s="77"/>
      <c r="AC22" s="77"/>
      <c r="AD22" s="77"/>
      <c r="AE22" s="77"/>
      <c r="AF22" s="77"/>
      <c r="AG22" s="78"/>
      <c r="AH22" s="78"/>
      <c r="AI22" s="78"/>
      <c r="AJ22" s="78"/>
      <c r="AK22" s="78"/>
      <c r="AL22" s="79"/>
      <c r="AM22" s="79"/>
      <c r="AN22" s="79"/>
      <c r="AO22" s="79"/>
      <c r="AP22" s="79"/>
      <c r="AQ22" s="76"/>
      <c r="AR22" s="76"/>
      <c r="AS22" s="76"/>
      <c r="AT22" s="76"/>
      <c r="AU22" s="76"/>
      <c r="AV22" s="80"/>
      <c r="AW22" s="80"/>
      <c r="AX22" s="80"/>
      <c r="AY22" s="80"/>
      <c r="AZ22" s="80"/>
      <c r="BA22" s="76"/>
      <c r="BB22" s="76"/>
      <c r="BC22" s="76"/>
      <c r="BD22" s="76"/>
      <c r="BE22" s="76"/>
      <c r="BF22" s="81"/>
      <c r="BG22" s="81"/>
      <c r="BH22" s="81"/>
      <c r="BI22" s="81"/>
      <c r="BJ22" s="81"/>
      <c r="BK22" s="78"/>
      <c r="BL22" s="78"/>
      <c r="BM22" s="78"/>
      <c r="BN22" s="78"/>
      <c r="BO22" s="78"/>
      <c r="BP22" s="82"/>
      <c r="BQ22" s="82"/>
      <c r="BR22" s="82"/>
      <c r="BS22" s="82"/>
      <c r="BT22" s="82"/>
    </row>
    <row r="23" ht="17.25" customHeight="1">
      <c r="B23" s="67" t="s">
        <v>62</v>
      </c>
      <c r="C23" s="68" t="s">
        <v>63</v>
      </c>
      <c r="D23" s="68" t="s">
        <v>51</v>
      </c>
      <c r="E23" s="69">
        <v>4.0</v>
      </c>
      <c r="F23" s="69">
        <v>4.0</v>
      </c>
      <c r="G23" s="70">
        <f t="shared" si="6"/>
        <v>0</v>
      </c>
      <c r="H23" s="68">
        <v>2.0</v>
      </c>
      <c r="I23" s="71">
        <v>45785.0</v>
      </c>
      <c r="J23" s="71">
        <v>45786.0</v>
      </c>
      <c r="K23" s="72">
        <f t="shared" si="7"/>
        <v>2</v>
      </c>
      <c r="L23" s="73">
        <f t="shared" si="2"/>
        <v>1</v>
      </c>
      <c r="M23" s="76"/>
      <c r="N23" s="76"/>
      <c r="O23" s="76"/>
      <c r="P23" s="76"/>
      <c r="Q23" s="76"/>
      <c r="R23" s="75"/>
      <c r="S23" s="75"/>
      <c r="T23" s="75"/>
      <c r="U23" s="75"/>
      <c r="V23" s="75"/>
      <c r="W23" s="76"/>
      <c r="X23" s="15"/>
      <c r="Y23" s="76"/>
      <c r="Z23" s="87"/>
      <c r="AA23" s="87"/>
      <c r="AB23" s="77"/>
      <c r="AC23" s="77"/>
      <c r="AD23" s="77"/>
      <c r="AE23" s="77"/>
      <c r="AF23" s="77"/>
      <c r="AG23" s="78"/>
      <c r="AH23" s="78"/>
      <c r="AI23" s="78"/>
      <c r="AJ23" s="78"/>
      <c r="AK23" s="78"/>
      <c r="AL23" s="79"/>
      <c r="AM23" s="79"/>
      <c r="AN23" s="79"/>
      <c r="AO23" s="79"/>
      <c r="AP23" s="79"/>
      <c r="AQ23" s="76"/>
      <c r="AR23" s="76"/>
      <c r="AS23" s="76"/>
      <c r="AT23" s="76"/>
      <c r="AU23" s="76"/>
      <c r="AV23" s="80"/>
      <c r="AW23" s="80"/>
      <c r="AX23" s="80"/>
      <c r="AY23" s="80"/>
      <c r="AZ23" s="80"/>
      <c r="BA23" s="76"/>
      <c r="BB23" s="76"/>
      <c r="BC23" s="76"/>
      <c r="BD23" s="76"/>
      <c r="BE23" s="76"/>
      <c r="BF23" s="81"/>
      <c r="BG23" s="81"/>
      <c r="BH23" s="81"/>
      <c r="BI23" s="81"/>
      <c r="BJ23" s="81"/>
      <c r="BK23" s="78"/>
      <c r="BL23" s="78"/>
      <c r="BM23" s="78"/>
      <c r="BN23" s="78"/>
      <c r="BO23" s="78"/>
      <c r="BP23" s="82"/>
      <c r="BQ23" s="82"/>
      <c r="BR23" s="82"/>
      <c r="BS23" s="82"/>
      <c r="BT23" s="82"/>
    </row>
    <row r="24" ht="18.0" customHeight="1">
      <c r="B24" s="67" t="s">
        <v>64</v>
      </c>
      <c r="C24" s="68" t="s">
        <v>65</v>
      </c>
      <c r="D24" s="68" t="s">
        <v>43</v>
      </c>
      <c r="E24" s="69">
        <v>4.0</v>
      </c>
      <c r="F24" s="69">
        <v>4.0</v>
      </c>
      <c r="G24" s="70">
        <f t="shared" si="6"/>
        <v>0</v>
      </c>
      <c r="H24" s="68">
        <v>2.0</v>
      </c>
      <c r="I24" s="71">
        <v>45791.0</v>
      </c>
      <c r="J24" s="71">
        <v>45792.0</v>
      </c>
      <c r="K24" s="72">
        <f t="shared" si="7"/>
        <v>2</v>
      </c>
      <c r="L24" s="73">
        <f t="shared" si="2"/>
        <v>1</v>
      </c>
      <c r="M24" s="76"/>
      <c r="N24" s="76"/>
      <c r="O24" s="76"/>
      <c r="P24" s="76"/>
      <c r="Q24" s="76"/>
      <c r="R24" s="75"/>
      <c r="S24" s="75"/>
      <c r="T24" s="75"/>
      <c r="U24" s="75"/>
      <c r="V24" s="75"/>
      <c r="W24" s="76"/>
      <c r="X24" s="76"/>
      <c r="Y24" s="88"/>
      <c r="Z24" s="15"/>
      <c r="AA24" s="15"/>
      <c r="AB24" s="89"/>
      <c r="AC24" s="77"/>
      <c r="AD24" s="86"/>
      <c r="AE24" s="86"/>
      <c r="AF24" s="77"/>
      <c r="AG24" s="78"/>
      <c r="AH24" s="78"/>
      <c r="AI24" s="78"/>
      <c r="AJ24" s="78"/>
      <c r="AK24" s="78"/>
      <c r="AL24" s="79"/>
      <c r="AM24" s="79"/>
      <c r="AN24" s="79"/>
      <c r="AO24" s="79"/>
      <c r="AP24" s="79"/>
      <c r="AQ24" s="76"/>
      <c r="AR24" s="76"/>
      <c r="AS24" s="76"/>
      <c r="AT24" s="76"/>
      <c r="AU24" s="76"/>
      <c r="AV24" s="80"/>
      <c r="AW24" s="80"/>
      <c r="AX24" s="80"/>
      <c r="AY24" s="80"/>
      <c r="AZ24" s="80"/>
      <c r="BA24" s="76"/>
      <c r="BB24" s="76"/>
      <c r="BC24" s="76"/>
      <c r="BD24" s="76"/>
      <c r="BE24" s="76"/>
      <c r="BF24" s="81"/>
      <c r="BG24" s="81"/>
      <c r="BH24" s="81"/>
      <c r="BI24" s="81"/>
      <c r="BJ24" s="81"/>
      <c r="BK24" s="78"/>
      <c r="BL24" s="78"/>
      <c r="BM24" s="78"/>
      <c r="BN24" s="78"/>
      <c r="BO24" s="78"/>
      <c r="BP24" s="82"/>
      <c r="BQ24" s="82"/>
      <c r="BR24" s="82"/>
      <c r="BS24" s="82"/>
      <c r="BT24" s="82"/>
    </row>
    <row r="25" ht="18.0" customHeight="1">
      <c r="B25" s="67" t="s">
        <v>66</v>
      </c>
      <c r="C25" s="68" t="s">
        <v>67</v>
      </c>
      <c r="D25" s="68" t="s">
        <v>40</v>
      </c>
      <c r="E25" s="69">
        <v>2.0</v>
      </c>
      <c r="F25" s="69">
        <v>2.0</v>
      </c>
      <c r="G25" s="70">
        <f t="shared" si="6"/>
        <v>0</v>
      </c>
      <c r="H25" s="68">
        <v>2.0</v>
      </c>
      <c r="I25" s="71">
        <v>45792.0</v>
      </c>
      <c r="J25" s="71">
        <v>45792.0</v>
      </c>
      <c r="K25" s="72">
        <f t="shared" si="7"/>
        <v>1</v>
      </c>
      <c r="L25" s="73">
        <f t="shared" si="2"/>
        <v>1</v>
      </c>
      <c r="M25" s="76"/>
      <c r="N25" s="76"/>
      <c r="O25" s="76"/>
      <c r="P25" s="76"/>
      <c r="Q25" s="76"/>
      <c r="R25" s="75"/>
      <c r="S25" s="75"/>
      <c r="T25" s="75"/>
      <c r="U25" s="75"/>
      <c r="V25" s="75"/>
      <c r="W25" s="76"/>
      <c r="X25" s="76"/>
      <c r="Y25" s="76"/>
      <c r="Z25" s="90"/>
      <c r="AA25" s="90"/>
      <c r="AB25" s="77"/>
      <c r="AC25" s="77"/>
      <c r="AD25" s="77"/>
      <c r="AE25" s="86"/>
      <c r="AF25" s="77"/>
      <c r="AG25" s="78"/>
      <c r="AH25" s="78"/>
      <c r="AI25" s="78"/>
      <c r="AJ25" s="78"/>
      <c r="AK25" s="78"/>
      <c r="AL25" s="79"/>
      <c r="AM25" s="79"/>
      <c r="AN25" s="79"/>
      <c r="AO25" s="79"/>
      <c r="AP25" s="79"/>
      <c r="AQ25" s="76"/>
      <c r="AR25" s="76"/>
      <c r="AS25" s="76"/>
      <c r="AT25" s="76"/>
      <c r="AU25" s="76"/>
      <c r="AV25" s="80"/>
      <c r="AW25" s="80"/>
      <c r="AX25" s="80"/>
      <c r="AY25" s="80"/>
      <c r="AZ25" s="80"/>
      <c r="BA25" s="76"/>
      <c r="BB25" s="76"/>
      <c r="BC25" s="76"/>
      <c r="BD25" s="76"/>
      <c r="BE25" s="76"/>
      <c r="BF25" s="81"/>
      <c r="BG25" s="81"/>
      <c r="BH25" s="81"/>
      <c r="BI25" s="81"/>
      <c r="BJ25" s="81"/>
      <c r="BK25" s="78"/>
      <c r="BL25" s="78"/>
      <c r="BM25" s="78"/>
      <c r="BN25" s="78"/>
      <c r="BO25" s="78"/>
      <c r="BP25" s="82"/>
      <c r="BQ25" s="82"/>
      <c r="BR25" s="82"/>
      <c r="BS25" s="82"/>
      <c r="BT25" s="82"/>
    </row>
    <row r="26" ht="15.75" customHeight="1">
      <c r="B26" s="60">
        <v>3.0</v>
      </c>
      <c r="C26" s="61" t="s">
        <v>68</v>
      </c>
      <c r="D26" s="62"/>
      <c r="E26" s="63">
        <f t="shared" ref="E26:F26" si="8">SUM(E27:E33)</f>
        <v>55</v>
      </c>
      <c r="F26" s="63">
        <f t="shared" si="8"/>
        <v>55</v>
      </c>
      <c r="G26" s="63">
        <f>SUM(E26-F26)</f>
        <v>0</v>
      </c>
      <c r="H26" s="62"/>
      <c r="I26" s="84"/>
      <c r="J26" s="84"/>
      <c r="K26" s="64">
        <f>SUM(K27:K33)</f>
        <v>33</v>
      </c>
      <c r="L26" s="65">
        <f t="shared" si="2"/>
        <v>1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</row>
    <row r="27" ht="15.75" customHeight="1">
      <c r="B27" s="60" t="s">
        <v>69</v>
      </c>
      <c r="C27" s="68" t="s">
        <v>70</v>
      </c>
      <c r="D27" s="68" t="s">
        <v>40</v>
      </c>
      <c r="E27" s="69">
        <v>1.0</v>
      </c>
      <c r="F27" s="69">
        <v>1.0</v>
      </c>
      <c r="G27" s="70">
        <f t="shared" ref="G27:G31" si="9">E27-F27</f>
        <v>0</v>
      </c>
      <c r="H27" s="91">
        <v>3.0</v>
      </c>
      <c r="I27" s="71">
        <v>45887.0</v>
      </c>
      <c r="J27" s="71">
        <v>45887.0</v>
      </c>
      <c r="K27" s="72">
        <f t="shared" ref="K27:K33" si="10">J27-I27+1</f>
        <v>1</v>
      </c>
      <c r="L27" s="73">
        <f t="shared" si="2"/>
        <v>1</v>
      </c>
      <c r="M27" s="76"/>
      <c r="N27" s="76"/>
      <c r="O27" s="76"/>
      <c r="P27" s="76"/>
      <c r="Q27" s="76"/>
      <c r="R27" s="75"/>
      <c r="S27" s="75"/>
      <c r="T27" s="75"/>
      <c r="U27" s="75"/>
      <c r="V27" s="75"/>
      <c r="W27" s="76"/>
      <c r="X27" s="76"/>
      <c r="Y27" s="76"/>
      <c r="Z27" s="76"/>
      <c r="AA27" s="76"/>
      <c r="AB27" s="77"/>
      <c r="AC27" s="77"/>
      <c r="AD27" s="77"/>
      <c r="AE27" s="77"/>
      <c r="AF27" s="77"/>
      <c r="AG27" s="92"/>
      <c r="AH27" s="78"/>
      <c r="AI27" s="78"/>
      <c r="AJ27" s="78"/>
      <c r="AK27" s="78"/>
      <c r="AL27" s="79"/>
      <c r="AM27" s="79"/>
      <c r="AN27" s="79"/>
      <c r="AO27" s="79"/>
      <c r="AP27" s="79"/>
      <c r="AQ27" s="76"/>
      <c r="AR27" s="76"/>
      <c r="AS27" s="76"/>
      <c r="AT27" s="76"/>
      <c r="AU27" s="76"/>
      <c r="AV27" s="80"/>
      <c r="AW27" s="80"/>
      <c r="AX27" s="80"/>
      <c r="AY27" s="80"/>
      <c r="AZ27" s="80"/>
      <c r="BA27" s="76"/>
      <c r="BB27" s="76"/>
      <c r="BC27" s="76"/>
      <c r="BD27" s="76"/>
      <c r="BE27" s="76"/>
      <c r="BF27" s="81"/>
      <c r="BG27" s="81"/>
      <c r="BH27" s="81"/>
      <c r="BI27" s="81"/>
      <c r="BJ27" s="81"/>
      <c r="BK27" s="78"/>
      <c r="BL27" s="78"/>
      <c r="BM27" s="78"/>
      <c r="BN27" s="78"/>
      <c r="BO27" s="78"/>
      <c r="BP27" s="82"/>
      <c r="BQ27" s="82"/>
      <c r="BR27" s="82"/>
      <c r="BS27" s="82"/>
      <c r="BT27" s="82"/>
    </row>
    <row r="28" ht="15.75" customHeight="1">
      <c r="B28" s="60" t="s">
        <v>71</v>
      </c>
      <c r="C28" s="68" t="s">
        <v>72</v>
      </c>
      <c r="D28" s="68" t="s">
        <v>73</v>
      </c>
      <c r="E28" s="69">
        <v>8.0</v>
      </c>
      <c r="F28" s="69">
        <v>8.0</v>
      </c>
      <c r="G28" s="70">
        <f t="shared" si="9"/>
        <v>0</v>
      </c>
      <c r="H28" s="91">
        <v>3.0</v>
      </c>
      <c r="I28" s="71">
        <v>45888.0</v>
      </c>
      <c r="J28" s="71">
        <v>45891.0</v>
      </c>
      <c r="K28" s="72">
        <f t="shared" si="10"/>
        <v>4</v>
      </c>
      <c r="L28" s="73">
        <f t="shared" si="2"/>
        <v>1</v>
      </c>
      <c r="M28" s="76"/>
      <c r="N28" s="76"/>
      <c r="O28" s="76"/>
      <c r="P28" s="76"/>
      <c r="Q28" s="76"/>
      <c r="R28" s="75"/>
      <c r="S28" s="75"/>
      <c r="T28" s="75"/>
      <c r="U28" s="75"/>
      <c r="V28" s="75"/>
      <c r="W28" s="76"/>
      <c r="X28" s="76"/>
      <c r="Y28" s="76"/>
      <c r="Z28" s="76"/>
      <c r="AA28" s="76"/>
      <c r="AB28" s="77"/>
      <c r="AC28" s="77"/>
      <c r="AD28" s="77"/>
      <c r="AE28" s="93"/>
      <c r="AF28" s="77"/>
      <c r="AG28" s="78"/>
      <c r="AH28" s="92"/>
      <c r="AI28" s="92"/>
      <c r="AJ28" s="92"/>
      <c r="AK28" s="92"/>
      <c r="AL28" s="79"/>
      <c r="AM28" s="79"/>
      <c r="AN28" s="79"/>
      <c r="AO28" s="79"/>
      <c r="AP28" s="79"/>
      <c r="AQ28" s="76"/>
      <c r="AR28" s="76"/>
      <c r="AS28" s="76"/>
      <c r="AT28" s="76"/>
      <c r="AU28" s="76"/>
      <c r="AV28" s="80"/>
      <c r="AW28" s="80"/>
      <c r="AX28" s="80"/>
      <c r="AY28" s="80"/>
      <c r="AZ28" s="80"/>
      <c r="BA28" s="76"/>
      <c r="BB28" s="76"/>
      <c r="BC28" s="76"/>
      <c r="BD28" s="76"/>
      <c r="BE28" s="76"/>
      <c r="BF28" s="81"/>
      <c r="BG28" s="81"/>
      <c r="BH28" s="81"/>
      <c r="BI28" s="81"/>
      <c r="BJ28" s="81"/>
      <c r="BK28" s="78"/>
      <c r="BL28" s="78"/>
      <c r="BM28" s="78"/>
      <c r="BN28" s="78"/>
      <c r="BO28" s="78"/>
      <c r="BP28" s="82"/>
      <c r="BQ28" s="82"/>
      <c r="BR28" s="82"/>
      <c r="BS28" s="82"/>
      <c r="BT28" s="82"/>
    </row>
    <row r="29" ht="15.75" customHeight="1">
      <c r="B29" s="60" t="s">
        <v>74</v>
      </c>
      <c r="C29" s="68" t="s">
        <v>75</v>
      </c>
      <c r="D29" s="68" t="s">
        <v>76</v>
      </c>
      <c r="E29" s="69">
        <v>8.0</v>
      </c>
      <c r="F29" s="69">
        <v>8.0</v>
      </c>
      <c r="G29" s="70">
        <f t="shared" si="9"/>
        <v>0</v>
      </c>
      <c r="H29" s="91">
        <v>3.0</v>
      </c>
      <c r="I29" s="71">
        <v>45888.0</v>
      </c>
      <c r="J29" s="71">
        <v>45891.0</v>
      </c>
      <c r="K29" s="72">
        <f t="shared" si="10"/>
        <v>4</v>
      </c>
      <c r="L29" s="73">
        <f t="shared" si="2"/>
        <v>1</v>
      </c>
      <c r="M29" s="76"/>
      <c r="N29" s="76"/>
      <c r="O29" s="76"/>
      <c r="P29" s="76"/>
      <c r="Q29" s="76"/>
      <c r="R29" s="75"/>
      <c r="S29" s="75"/>
      <c r="T29" s="75"/>
      <c r="U29" s="75"/>
      <c r="V29" s="75"/>
      <c r="W29" s="76"/>
      <c r="X29" s="76"/>
      <c r="Y29" s="76"/>
      <c r="Z29" s="76"/>
      <c r="AA29" s="76"/>
      <c r="AB29" s="77"/>
      <c r="AC29" s="77"/>
      <c r="AD29" s="77"/>
      <c r="AE29" s="93"/>
      <c r="AF29" s="77"/>
      <c r="AG29" s="78"/>
      <c r="AH29" s="92"/>
      <c r="AI29" s="92"/>
      <c r="AJ29" s="92"/>
      <c r="AK29" s="92"/>
      <c r="AL29" s="79"/>
      <c r="AM29" s="79"/>
      <c r="AN29" s="79"/>
      <c r="AO29" s="79"/>
      <c r="AP29" s="79"/>
      <c r="AQ29" s="76"/>
      <c r="AR29" s="76"/>
      <c r="AS29" s="76"/>
      <c r="AT29" s="76"/>
      <c r="AU29" s="76"/>
      <c r="AV29" s="80"/>
      <c r="AW29" s="80"/>
      <c r="AX29" s="80"/>
      <c r="AY29" s="80"/>
      <c r="AZ29" s="80"/>
      <c r="BA29" s="76"/>
      <c r="BB29" s="76"/>
      <c r="BC29" s="76"/>
      <c r="BD29" s="76"/>
      <c r="BE29" s="76"/>
      <c r="BF29" s="81"/>
      <c r="BG29" s="81"/>
      <c r="BH29" s="81"/>
      <c r="BI29" s="81"/>
      <c r="BJ29" s="81"/>
      <c r="BK29" s="78"/>
      <c r="BL29" s="78"/>
      <c r="BM29" s="78"/>
      <c r="BN29" s="78"/>
      <c r="BO29" s="78"/>
      <c r="BP29" s="82"/>
      <c r="BQ29" s="82"/>
      <c r="BR29" s="82"/>
      <c r="BS29" s="82"/>
      <c r="BT29" s="82"/>
    </row>
    <row r="30" ht="15.75" customHeight="1">
      <c r="B30" s="60" t="s">
        <v>77</v>
      </c>
      <c r="C30" s="68" t="s">
        <v>78</v>
      </c>
      <c r="D30" s="68" t="s">
        <v>51</v>
      </c>
      <c r="E30" s="69">
        <v>9.0</v>
      </c>
      <c r="F30" s="69">
        <v>9.0</v>
      </c>
      <c r="G30" s="70">
        <f t="shared" si="9"/>
        <v>0</v>
      </c>
      <c r="H30" s="91">
        <v>3.0</v>
      </c>
      <c r="I30" s="71">
        <v>45889.0</v>
      </c>
      <c r="J30" s="71">
        <v>45895.0</v>
      </c>
      <c r="K30" s="72">
        <f t="shared" si="10"/>
        <v>7</v>
      </c>
      <c r="L30" s="73">
        <f t="shared" si="2"/>
        <v>1</v>
      </c>
      <c r="M30" s="76"/>
      <c r="N30" s="76"/>
      <c r="O30" s="76"/>
      <c r="P30" s="76"/>
      <c r="Q30" s="76"/>
      <c r="R30" s="75"/>
      <c r="S30" s="75"/>
      <c r="T30" s="75"/>
      <c r="U30" s="75"/>
      <c r="V30" s="75"/>
      <c r="W30" s="76"/>
      <c r="X30" s="76"/>
      <c r="Y30" s="76"/>
      <c r="Z30" s="76"/>
      <c r="AA30" s="76"/>
      <c r="AB30" s="77"/>
      <c r="AC30" s="77"/>
      <c r="AD30" s="77"/>
      <c r="AE30" s="93"/>
      <c r="AF30" s="77"/>
      <c r="AG30" s="78"/>
      <c r="AH30" s="78"/>
      <c r="AI30" s="92"/>
      <c r="AJ30" s="92"/>
      <c r="AK30" s="92"/>
      <c r="AL30" s="92"/>
      <c r="AM30" s="92"/>
      <c r="AN30" s="79"/>
      <c r="AO30" s="79"/>
      <c r="AP30" s="79"/>
      <c r="AQ30" s="76"/>
      <c r="AR30" s="76"/>
      <c r="AS30" s="76"/>
      <c r="AT30" s="76"/>
      <c r="AU30" s="76"/>
      <c r="AV30" s="80"/>
      <c r="AW30" s="80"/>
      <c r="AX30" s="80"/>
      <c r="AY30" s="80"/>
      <c r="AZ30" s="80"/>
      <c r="BA30" s="76"/>
      <c r="BB30" s="76"/>
      <c r="BC30" s="76"/>
      <c r="BD30" s="76"/>
      <c r="BE30" s="76"/>
      <c r="BF30" s="81"/>
      <c r="BG30" s="81"/>
      <c r="BH30" s="81"/>
      <c r="BI30" s="81"/>
      <c r="BJ30" s="81"/>
      <c r="BK30" s="78"/>
      <c r="BL30" s="78"/>
      <c r="BM30" s="78"/>
      <c r="BN30" s="78"/>
      <c r="BO30" s="78"/>
      <c r="BP30" s="82"/>
      <c r="BQ30" s="82"/>
      <c r="BR30" s="82"/>
      <c r="BS30" s="82"/>
      <c r="BT30" s="82"/>
    </row>
    <row r="31" ht="15.75" customHeight="1">
      <c r="B31" s="60" t="s">
        <v>79</v>
      </c>
      <c r="C31" s="68" t="s">
        <v>80</v>
      </c>
      <c r="D31" s="68" t="s">
        <v>81</v>
      </c>
      <c r="E31" s="69">
        <v>18.0</v>
      </c>
      <c r="F31" s="69">
        <v>18.0</v>
      </c>
      <c r="G31" s="70">
        <f t="shared" si="9"/>
        <v>0</v>
      </c>
      <c r="H31" s="91">
        <v>3.0</v>
      </c>
      <c r="I31" s="71">
        <v>45895.0</v>
      </c>
      <c r="J31" s="71">
        <v>45904.0</v>
      </c>
      <c r="K31" s="72">
        <f t="shared" si="10"/>
        <v>10</v>
      </c>
      <c r="L31" s="73">
        <f t="shared" si="2"/>
        <v>1</v>
      </c>
      <c r="M31" s="76"/>
      <c r="N31" s="76"/>
      <c r="O31" s="76"/>
      <c r="P31" s="76"/>
      <c r="Q31" s="76"/>
      <c r="R31" s="75"/>
      <c r="S31" s="75"/>
      <c r="T31" s="75"/>
      <c r="U31" s="75"/>
      <c r="V31" s="75"/>
      <c r="W31" s="76"/>
      <c r="X31" s="76"/>
      <c r="Y31" s="76"/>
      <c r="Z31" s="76"/>
      <c r="AA31" s="76"/>
      <c r="AB31" s="77"/>
      <c r="AC31" s="77"/>
      <c r="AD31" s="77"/>
      <c r="AE31" s="93"/>
      <c r="AF31" s="77"/>
      <c r="AG31" s="78"/>
      <c r="AH31" s="92"/>
      <c r="AI31" s="92"/>
      <c r="AJ31" s="92"/>
      <c r="AK31" s="92"/>
      <c r="AL31" s="92"/>
      <c r="AM31" s="92"/>
      <c r="AN31" s="92"/>
      <c r="AO31" s="92"/>
      <c r="AP31" s="79"/>
      <c r="AQ31" s="76"/>
      <c r="AR31" s="76"/>
      <c r="AS31" s="76"/>
      <c r="AT31" s="76"/>
      <c r="AU31" s="76"/>
      <c r="AV31" s="80"/>
      <c r="AW31" s="80"/>
      <c r="AX31" s="80"/>
      <c r="AY31" s="80"/>
      <c r="AZ31" s="80"/>
      <c r="BA31" s="76"/>
      <c r="BB31" s="76"/>
      <c r="BC31" s="76"/>
      <c r="BD31" s="76"/>
      <c r="BE31" s="76"/>
      <c r="BF31" s="81"/>
      <c r="BG31" s="81"/>
      <c r="BH31" s="81"/>
      <c r="BI31" s="81"/>
      <c r="BJ31" s="81"/>
      <c r="BK31" s="78"/>
      <c r="BL31" s="78"/>
      <c r="BM31" s="78"/>
      <c r="BN31" s="78"/>
      <c r="BO31" s="78"/>
      <c r="BP31" s="82"/>
      <c r="BQ31" s="82"/>
      <c r="BR31" s="82"/>
      <c r="BS31" s="82"/>
      <c r="BT31" s="82"/>
    </row>
    <row r="32" ht="15.75" customHeight="1">
      <c r="B32" s="67" t="s">
        <v>82</v>
      </c>
      <c r="C32" s="68" t="s">
        <v>83</v>
      </c>
      <c r="D32" s="68" t="s">
        <v>59</v>
      </c>
      <c r="E32" s="69">
        <v>9.0</v>
      </c>
      <c r="F32" s="69">
        <v>9.0</v>
      </c>
      <c r="G32" s="94">
        <v>0.0</v>
      </c>
      <c r="H32" s="68">
        <v>3.0</v>
      </c>
      <c r="I32" s="71">
        <v>45901.0</v>
      </c>
      <c r="J32" s="71">
        <v>45905.0</v>
      </c>
      <c r="K32" s="72">
        <f t="shared" si="10"/>
        <v>5</v>
      </c>
      <c r="L32" s="73">
        <f t="shared" si="2"/>
        <v>1</v>
      </c>
      <c r="M32" s="76"/>
      <c r="N32" s="76"/>
      <c r="O32" s="76"/>
      <c r="P32" s="76"/>
      <c r="Q32" s="76"/>
      <c r="R32" s="75"/>
      <c r="S32" s="75"/>
      <c r="T32" s="75"/>
      <c r="U32" s="75"/>
      <c r="V32" s="75"/>
      <c r="W32" s="76"/>
      <c r="X32" s="76"/>
      <c r="Y32" s="76"/>
      <c r="Z32" s="76"/>
      <c r="AA32" s="76"/>
      <c r="AB32" s="77"/>
      <c r="AC32" s="77"/>
      <c r="AD32" s="77"/>
      <c r="AE32" s="93"/>
      <c r="AF32" s="77"/>
      <c r="AG32" s="92"/>
      <c r="AH32" s="92"/>
      <c r="AI32" s="92"/>
      <c r="AJ32" s="78"/>
      <c r="AK32" s="78"/>
      <c r="AL32" s="92"/>
      <c r="AM32" s="92"/>
      <c r="AN32" s="92"/>
      <c r="AO32" s="92"/>
      <c r="AP32" s="92"/>
      <c r="AQ32" s="76"/>
      <c r="AR32" s="76"/>
      <c r="AS32" s="76"/>
      <c r="AT32" s="76"/>
      <c r="AU32" s="76"/>
      <c r="AV32" s="80"/>
      <c r="AW32" s="80"/>
      <c r="AX32" s="80"/>
      <c r="AY32" s="80"/>
      <c r="AZ32" s="80"/>
      <c r="BA32" s="76"/>
      <c r="BB32" s="76"/>
      <c r="BC32" s="76"/>
      <c r="BD32" s="76"/>
      <c r="BE32" s="76"/>
      <c r="BF32" s="81"/>
      <c r="BG32" s="81"/>
      <c r="BH32" s="81"/>
      <c r="BI32" s="81"/>
      <c r="BJ32" s="81"/>
      <c r="BK32" s="78"/>
      <c r="BL32" s="78"/>
      <c r="BM32" s="78"/>
      <c r="BN32" s="78"/>
      <c r="BO32" s="78"/>
      <c r="BP32" s="82"/>
      <c r="BQ32" s="82"/>
      <c r="BR32" s="82"/>
      <c r="BS32" s="82"/>
      <c r="BT32" s="82"/>
    </row>
    <row r="33" ht="15.75" customHeight="1">
      <c r="B33" s="67" t="s">
        <v>84</v>
      </c>
      <c r="C33" s="95" t="s">
        <v>85</v>
      </c>
      <c r="D33" s="68" t="s">
        <v>43</v>
      </c>
      <c r="E33" s="69">
        <v>2.0</v>
      </c>
      <c r="F33" s="69">
        <v>2.0</v>
      </c>
      <c r="G33" s="70">
        <f>E33-F33</f>
        <v>0</v>
      </c>
      <c r="H33" s="91">
        <v>3.0</v>
      </c>
      <c r="I33" s="71">
        <v>45894.0</v>
      </c>
      <c r="J33" s="71">
        <v>45895.0</v>
      </c>
      <c r="K33" s="72">
        <f t="shared" si="10"/>
        <v>2</v>
      </c>
      <c r="L33" s="73">
        <f t="shared" si="2"/>
        <v>1</v>
      </c>
      <c r="M33" s="76"/>
      <c r="N33" s="76"/>
      <c r="O33" s="76"/>
      <c r="P33" s="76"/>
      <c r="Q33" s="76"/>
      <c r="R33" s="75"/>
      <c r="S33" s="75"/>
      <c r="T33" s="75"/>
      <c r="U33" s="75"/>
      <c r="V33" s="75"/>
      <c r="W33" s="76"/>
      <c r="X33" s="76"/>
      <c r="Y33" s="76"/>
      <c r="Z33" s="76"/>
      <c r="AA33" s="76"/>
      <c r="AB33" s="77"/>
      <c r="AC33" s="77"/>
      <c r="AD33" s="77"/>
      <c r="AE33" s="93"/>
      <c r="AF33" s="77"/>
      <c r="AG33" s="92"/>
      <c r="AH33" s="92"/>
      <c r="AI33" s="78"/>
      <c r="AJ33" s="78"/>
      <c r="AK33" s="78"/>
      <c r="AL33" s="79"/>
      <c r="AM33" s="79"/>
      <c r="AN33" s="79"/>
      <c r="AO33" s="79"/>
      <c r="AP33" s="79"/>
      <c r="AQ33" s="76"/>
      <c r="AR33" s="76"/>
      <c r="AS33" s="76"/>
      <c r="AT33" s="76"/>
      <c r="AU33" s="76"/>
      <c r="AV33" s="80"/>
      <c r="AW33" s="80"/>
      <c r="AX33" s="80"/>
      <c r="AY33" s="80"/>
      <c r="AZ33" s="80"/>
      <c r="BA33" s="76"/>
      <c r="BB33" s="76"/>
      <c r="BC33" s="76"/>
      <c r="BD33" s="76"/>
      <c r="BE33" s="76"/>
      <c r="BF33" s="81"/>
      <c r="BG33" s="81"/>
      <c r="BH33" s="81"/>
      <c r="BI33" s="81"/>
      <c r="BJ33" s="81"/>
      <c r="BK33" s="78"/>
      <c r="BL33" s="78"/>
      <c r="BM33" s="78"/>
      <c r="BN33" s="78"/>
      <c r="BO33" s="78"/>
      <c r="BP33" s="82"/>
      <c r="BQ33" s="82"/>
      <c r="BR33" s="82"/>
      <c r="BS33" s="82"/>
      <c r="BT33" s="82"/>
    </row>
    <row r="34" ht="15.75" customHeight="1">
      <c r="B34" s="60">
        <v>4.0</v>
      </c>
      <c r="C34" s="61" t="s">
        <v>86</v>
      </c>
      <c r="D34" s="62"/>
      <c r="E34" s="63">
        <f t="shared" ref="E34:F34" si="11">SUM(E35:E40)</f>
        <v>62</v>
      </c>
      <c r="F34" s="63">
        <f t="shared" si="11"/>
        <v>62</v>
      </c>
      <c r="G34" s="63">
        <f>SUM(E34-F34)</f>
        <v>0</v>
      </c>
      <c r="H34" s="62"/>
      <c r="I34" s="84"/>
      <c r="J34" s="84"/>
      <c r="K34" s="64">
        <f>SUM(K35:K53)</f>
        <v>90</v>
      </c>
      <c r="L34" s="65">
        <f t="shared" si="2"/>
        <v>1</v>
      </c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</row>
    <row r="35" ht="15.75" customHeight="1">
      <c r="B35" s="60" t="s">
        <v>87</v>
      </c>
      <c r="C35" s="68" t="s">
        <v>88</v>
      </c>
      <c r="D35" s="68" t="s">
        <v>40</v>
      </c>
      <c r="E35" s="69">
        <v>6.0</v>
      </c>
      <c r="F35" s="69">
        <v>6.0</v>
      </c>
      <c r="G35" s="70">
        <f t="shared" ref="G35:G40" si="12">E35-F35</f>
        <v>0</v>
      </c>
      <c r="H35" s="91">
        <v>4.0</v>
      </c>
      <c r="I35" s="71">
        <v>45908.0</v>
      </c>
      <c r="J35" s="71">
        <v>45911.0</v>
      </c>
      <c r="K35" s="72">
        <f t="shared" ref="K35:K40" si="13">J35-I35+1</f>
        <v>4</v>
      </c>
      <c r="L35" s="73">
        <f t="shared" si="2"/>
        <v>1</v>
      </c>
      <c r="M35" s="76"/>
      <c r="N35" s="76"/>
      <c r="O35" s="76"/>
      <c r="P35" s="76"/>
      <c r="Q35" s="76"/>
      <c r="R35" s="75"/>
      <c r="S35" s="75"/>
      <c r="T35" s="75"/>
      <c r="U35" s="75"/>
      <c r="V35" s="75"/>
      <c r="W35" s="76"/>
      <c r="X35" s="76"/>
      <c r="Y35" s="76"/>
      <c r="Z35" s="76"/>
      <c r="AA35" s="76"/>
      <c r="AB35" s="77"/>
      <c r="AC35" s="77"/>
      <c r="AD35" s="77"/>
      <c r="AE35" s="77"/>
      <c r="AF35" s="77"/>
      <c r="AG35" s="78"/>
      <c r="AH35" s="78"/>
      <c r="AI35" s="78"/>
      <c r="AJ35" s="78"/>
      <c r="AK35" s="78"/>
      <c r="AL35" s="79"/>
      <c r="AM35" s="79"/>
      <c r="AN35" s="79"/>
      <c r="AO35" s="79"/>
      <c r="AP35" s="79"/>
      <c r="AQ35" s="96"/>
      <c r="AR35" s="96"/>
      <c r="AS35" s="97"/>
      <c r="AT35" s="97"/>
      <c r="AU35" s="98"/>
      <c r="AV35" s="80"/>
      <c r="AW35" s="80"/>
      <c r="AX35" s="99"/>
      <c r="AY35" s="99"/>
      <c r="AZ35" s="99"/>
      <c r="BA35" s="76"/>
      <c r="BB35" s="76"/>
      <c r="BC35" s="76"/>
      <c r="BD35" s="76"/>
      <c r="BE35" s="76"/>
      <c r="BF35" s="81"/>
      <c r="BG35" s="100"/>
      <c r="BH35" s="81"/>
      <c r="BI35" s="81"/>
      <c r="BJ35" s="81"/>
      <c r="BK35" s="78"/>
      <c r="BL35" s="78"/>
      <c r="BM35" s="78"/>
      <c r="BN35" s="78"/>
      <c r="BO35" s="78"/>
      <c r="BP35" s="82"/>
      <c r="BQ35" s="82"/>
      <c r="BR35" s="82"/>
      <c r="BS35" s="82"/>
      <c r="BT35" s="82"/>
    </row>
    <row r="36" ht="15.75" customHeight="1">
      <c r="A36" s="101"/>
      <c r="B36" s="60" t="s">
        <v>89</v>
      </c>
      <c r="C36" s="68" t="s">
        <v>90</v>
      </c>
      <c r="D36" s="102" t="s">
        <v>91</v>
      </c>
      <c r="E36" s="103">
        <v>14.0</v>
      </c>
      <c r="F36" s="103">
        <v>14.0</v>
      </c>
      <c r="G36" s="70">
        <f t="shared" si="12"/>
        <v>0</v>
      </c>
      <c r="H36" s="91">
        <v>4.0</v>
      </c>
      <c r="I36" s="71">
        <v>45910.0</v>
      </c>
      <c r="J36" s="71">
        <v>45915.0</v>
      </c>
      <c r="K36" s="72">
        <f t="shared" si="13"/>
        <v>6</v>
      </c>
      <c r="L36" s="73">
        <f t="shared" si="2"/>
        <v>1</v>
      </c>
      <c r="M36" s="98"/>
      <c r="N36" s="98"/>
      <c r="O36" s="98"/>
      <c r="P36" s="98"/>
      <c r="Q36" s="98"/>
      <c r="R36" s="104"/>
      <c r="S36" s="104"/>
      <c r="T36" s="104"/>
      <c r="U36" s="104"/>
      <c r="V36" s="104"/>
      <c r="W36" s="98"/>
      <c r="X36" s="98"/>
      <c r="Y36" s="98"/>
      <c r="Z36" s="98"/>
      <c r="AA36" s="98"/>
      <c r="AB36" s="105"/>
      <c r="AC36" s="105"/>
      <c r="AD36" s="105"/>
      <c r="AE36" s="105"/>
      <c r="AF36" s="105"/>
      <c r="AG36" s="106"/>
      <c r="AH36" s="106"/>
      <c r="AI36" s="106"/>
      <c r="AJ36" s="106"/>
      <c r="AK36" s="106"/>
      <c r="AL36" s="107"/>
      <c r="AM36" s="107"/>
      <c r="AN36" s="107"/>
      <c r="AO36" s="107"/>
      <c r="AP36" s="79"/>
      <c r="AQ36" s="98"/>
      <c r="AR36" s="78"/>
      <c r="AS36" s="97"/>
      <c r="AT36" s="96"/>
      <c r="AU36" s="97"/>
      <c r="AV36" s="97"/>
      <c r="AW36" s="99"/>
      <c r="AX36" s="99"/>
      <c r="AY36" s="99"/>
      <c r="AZ36" s="99"/>
      <c r="BA36" s="98"/>
      <c r="BB36" s="98"/>
      <c r="BC36" s="98"/>
      <c r="BD36" s="98"/>
      <c r="BE36" s="98"/>
      <c r="BF36" s="108"/>
      <c r="BG36" s="108"/>
      <c r="BH36" s="108"/>
      <c r="BI36" s="108"/>
      <c r="BJ36" s="100"/>
      <c r="BK36" s="78"/>
      <c r="BL36" s="78"/>
      <c r="BM36" s="78"/>
      <c r="BN36" s="78"/>
      <c r="BO36" s="78"/>
      <c r="BP36" s="109"/>
      <c r="BQ36" s="109"/>
      <c r="BR36" s="109"/>
      <c r="BS36" s="109"/>
      <c r="BT36" s="109"/>
      <c r="BU36" s="101"/>
    </row>
    <row r="37" ht="15.75" customHeight="1">
      <c r="A37" s="101"/>
      <c r="B37" s="60" t="s">
        <v>92</v>
      </c>
      <c r="C37" s="68" t="s">
        <v>93</v>
      </c>
      <c r="D37" s="102" t="s">
        <v>40</v>
      </c>
      <c r="E37" s="103">
        <v>8.0</v>
      </c>
      <c r="F37" s="103">
        <v>8.0</v>
      </c>
      <c r="G37" s="70">
        <f t="shared" si="12"/>
        <v>0</v>
      </c>
      <c r="H37" s="91">
        <v>4.0</v>
      </c>
      <c r="I37" s="71">
        <v>45915.0</v>
      </c>
      <c r="J37" s="71">
        <v>45917.0</v>
      </c>
      <c r="K37" s="72">
        <f t="shared" si="13"/>
        <v>3</v>
      </c>
      <c r="L37" s="73">
        <f t="shared" si="2"/>
        <v>1</v>
      </c>
      <c r="M37" s="98"/>
      <c r="N37" s="98"/>
      <c r="O37" s="98"/>
      <c r="P37" s="98"/>
      <c r="Q37" s="98"/>
      <c r="R37" s="104"/>
      <c r="S37" s="104"/>
      <c r="T37" s="104"/>
      <c r="U37" s="104"/>
      <c r="V37" s="104"/>
      <c r="W37" s="98"/>
      <c r="X37" s="98"/>
      <c r="Y37" s="98"/>
      <c r="Z37" s="98"/>
      <c r="AA37" s="98"/>
      <c r="AB37" s="105"/>
      <c r="AC37" s="105"/>
      <c r="AD37" s="105"/>
      <c r="AE37" s="105"/>
      <c r="AF37" s="105"/>
      <c r="AG37" s="106"/>
      <c r="AH37" s="106"/>
      <c r="AI37" s="106"/>
      <c r="AJ37" s="106"/>
      <c r="AK37" s="106"/>
      <c r="AL37" s="107"/>
      <c r="AM37" s="107"/>
      <c r="AN37" s="107"/>
      <c r="AO37" s="107"/>
      <c r="AP37" s="79"/>
      <c r="AQ37" s="98"/>
      <c r="AR37" s="78"/>
      <c r="AS37" s="98"/>
      <c r="AT37" s="76"/>
      <c r="AU37" s="98"/>
      <c r="AV37" s="97"/>
      <c r="AW37" s="97"/>
      <c r="AX37" s="97"/>
      <c r="AY37" s="99"/>
      <c r="AZ37" s="99"/>
      <c r="BA37" s="98"/>
      <c r="BB37" s="98"/>
      <c r="BC37" s="98"/>
      <c r="BD37" s="98"/>
      <c r="BE37" s="98"/>
      <c r="BF37" s="108"/>
      <c r="BG37" s="108"/>
      <c r="BH37" s="108"/>
      <c r="BI37" s="108"/>
      <c r="BJ37" s="100"/>
      <c r="BK37" s="78"/>
      <c r="BL37" s="78"/>
      <c r="BM37" s="78"/>
      <c r="BN37" s="78"/>
      <c r="BO37" s="78"/>
      <c r="BP37" s="109"/>
      <c r="BQ37" s="109"/>
      <c r="BR37" s="109"/>
      <c r="BS37" s="109"/>
      <c r="BT37" s="109"/>
      <c r="BU37" s="101"/>
    </row>
    <row r="38" ht="15.75" customHeight="1">
      <c r="A38" s="101"/>
      <c r="B38" s="60" t="s">
        <v>94</v>
      </c>
      <c r="C38" s="68" t="s">
        <v>95</v>
      </c>
      <c r="D38" s="102" t="s">
        <v>96</v>
      </c>
      <c r="E38" s="103">
        <v>20.0</v>
      </c>
      <c r="F38" s="103">
        <v>20.0</v>
      </c>
      <c r="G38" s="70">
        <f t="shared" si="12"/>
        <v>0</v>
      </c>
      <c r="H38" s="91">
        <v>4.0</v>
      </c>
      <c r="I38" s="71">
        <v>45910.0</v>
      </c>
      <c r="J38" s="71">
        <v>45919.0</v>
      </c>
      <c r="K38" s="72">
        <f t="shared" si="13"/>
        <v>10</v>
      </c>
      <c r="L38" s="73">
        <f t="shared" si="2"/>
        <v>1</v>
      </c>
      <c r="M38" s="98"/>
      <c r="N38" s="98"/>
      <c r="O38" s="98"/>
      <c r="P38" s="98"/>
      <c r="Q38" s="98"/>
      <c r="R38" s="104"/>
      <c r="S38" s="104"/>
      <c r="T38" s="104"/>
      <c r="U38" s="104"/>
      <c r="V38" s="104"/>
      <c r="W38" s="98"/>
      <c r="X38" s="98"/>
      <c r="Y38" s="98"/>
      <c r="Z38" s="98"/>
      <c r="AA38" s="98"/>
      <c r="AB38" s="105"/>
      <c r="AC38" s="105"/>
      <c r="AD38" s="105"/>
      <c r="AE38" s="105"/>
      <c r="AF38" s="105"/>
      <c r="AG38" s="106"/>
      <c r="AH38" s="106"/>
      <c r="AI38" s="106"/>
      <c r="AJ38" s="106"/>
      <c r="AK38" s="106"/>
      <c r="AL38" s="107"/>
      <c r="AM38" s="107"/>
      <c r="AN38" s="107"/>
      <c r="AO38" s="107"/>
      <c r="AP38" s="79"/>
      <c r="AQ38" s="110"/>
      <c r="AR38" s="111"/>
      <c r="AS38" s="112"/>
      <c r="AT38" s="113"/>
      <c r="AU38" s="112"/>
      <c r="AV38" s="112"/>
      <c r="AW38" s="112"/>
      <c r="AX38" s="112"/>
      <c r="AY38" s="112"/>
      <c r="AZ38" s="112"/>
      <c r="BA38" s="98"/>
      <c r="BB38" s="98"/>
      <c r="BC38" s="98"/>
      <c r="BD38" s="98"/>
      <c r="BE38" s="98"/>
      <c r="BF38" s="108"/>
      <c r="BG38" s="108"/>
      <c r="BH38" s="108"/>
      <c r="BI38" s="108"/>
      <c r="BJ38" s="100"/>
      <c r="BK38" s="78"/>
      <c r="BL38" s="78"/>
      <c r="BM38" s="78"/>
      <c r="BN38" s="78"/>
      <c r="BO38" s="78"/>
      <c r="BP38" s="109"/>
      <c r="BQ38" s="109"/>
      <c r="BR38" s="109"/>
      <c r="BS38" s="109"/>
      <c r="BT38" s="109"/>
      <c r="BU38" s="101"/>
    </row>
    <row r="39" ht="15.75" customHeight="1">
      <c r="A39" s="101"/>
      <c r="B39" s="60" t="s">
        <v>97</v>
      </c>
      <c r="C39" s="68" t="s">
        <v>98</v>
      </c>
      <c r="D39" s="102" t="s">
        <v>40</v>
      </c>
      <c r="E39" s="103">
        <v>8.0</v>
      </c>
      <c r="F39" s="103">
        <v>8.0</v>
      </c>
      <c r="G39" s="70">
        <f t="shared" si="12"/>
        <v>0</v>
      </c>
      <c r="H39" s="91">
        <v>4.0</v>
      </c>
      <c r="I39" s="71">
        <v>45916.0</v>
      </c>
      <c r="J39" s="71">
        <v>45918.0</v>
      </c>
      <c r="K39" s="72">
        <f t="shared" si="13"/>
        <v>3</v>
      </c>
      <c r="L39" s="73">
        <f t="shared" si="2"/>
        <v>1</v>
      </c>
      <c r="M39" s="98"/>
      <c r="N39" s="98"/>
      <c r="O39" s="98"/>
      <c r="P39" s="98"/>
      <c r="Q39" s="98"/>
      <c r="R39" s="104"/>
      <c r="S39" s="104"/>
      <c r="T39" s="104"/>
      <c r="U39" s="104"/>
      <c r="V39" s="104"/>
      <c r="W39" s="98"/>
      <c r="X39" s="98"/>
      <c r="Y39" s="98"/>
      <c r="Z39" s="98"/>
      <c r="AA39" s="98"/>
      <c r="AB39" s="105"/>
      <c r="AC39" s="105"/>
      <c r="AD39" s="105"/>
      <c r="AE39" s="105"/>
      <c r="AF39" s="105"/>
      <c r="AG39" s="106"/>
      <c r="AH39" s="106"/>
      <c r="AI39" s="106"/>
      <c r="AJ39" s="106"/>
      <c r="AK39" s="106"/>
      <c r="AL39" s="107"/>
      <c r="AM39" s="107"/>
      <c r="AN39" s="107"/>
      <c r="AO39" s="107"/>
      <c r="AP39" s="79"/>
      <c r="AQ39" s="98"/>
      <c r="AR39" s="78"/>
      <c r="AS39" s="98"/>
      <c r="AT39" s="76"/>
      <c r="AU39" s="98"/>
      <c r="AV39" s="99"/>
      <c r="AW39" s="97"/>
      <c r="AX39" s="97"/>
      <c r="AY39" s="97"/>
      <c r="AZ39" s="99"/>
      <c r="BA39" s="98"/>
      <c r="BB39" s="98"/>
      <c r="BC39" s="98"/>
      <c r="BD39" s="98"/>
      <c r="BE39" s="98"/>
      <c r="BF39" s="108"/>
      <c r="BG39" s="108"/>
      <c r="BH39" s="108"/>
      <c r="BI39" s="108"/>
      <c r="BJ39" s="100"/>
      <c r="BK39" s="78"/>
      <c r="BL39" s="78"/>
      <c r="BM39" s="78"/>
      <c r="BN39" s="78"/>
      <c r="BO39" s="78"/>
      <c r="BP39" s="109"/>
      <c r="BQ39" s="109"/>
      <c r="BR39" s="109"/>
      <c r="BS39" s="109"/>
      <c r="BT39" s="109"/>
      <c r="BU39" s="101"/>
    </row>
    <row r="40" ht="15.75" customHeight="1">
      <c r="A40" s="101"/>
      <c r="B40" s="60" t="s">
        <v>99</v>
      </c>
      <c r="C40" s="95" t="s">
        <v>100</v>
      </c>
      <c r="D40" s="102" t="s">
        <v>43</v>
      </c>
      <c r="E40" s="103">
        <v>6.0</v>
      </c>
      <c r="F40" s="103">
        <v>6.0</v>
      </c>
      <c r="G40" s="70">
        <f t="shared" si="12"/>
        <v>0</v>
      </c>
      <c r="H40" s="91">
        <v>4.0</v>
      </c>
      <c r="I40" s="71">
        <v>45917.0</v>
      </c>
      <c r="J40" s="71">
        <v>45919.0</v>
      </c>
      <c r="K40" s="72">
        <f t="shared" si="13"/>
        <v>3</v>
      </c>
      <c r="L40" s="73">
        <f t="shared" si="2"/>
        <v>1</v>
      </c>
      <c r="M40" s="98"/>
      <c r="N40" s="98"/>
      <c r="O40" s="98"/>
      <c r="P40" s="98"/>
      <c r="Q40" s="98"/>
      <c r="R40" s="104"/>
      <c r="S40" s="104"/>
      <c r="T40" s="104"/>
      <c r="U40" s="104"/>
      <c r="V40" s="104"/>
      <c r="W40" s="98"/>
      <c r="X40" s="98"/>
      <c r="Y40" s="98"/>
      <c r="Z40" s="98"/>
      <c r="AA40" s="98"/>
      <c r="AB40" s="105"/>
      <c r="AC40" s="105"/>
      <c r="AD40" s="105"/>
      <c r="AE40" s="105"/>
      <c r="AF40" s="105"/>
      <c r="AG40" s="106"/>
      <c r="AH40" s="106"/>
      <c r="AI40" s="106"/>
      <c r="AJ40" s="106"/>
      <c r="AK40" s="106"/>
      <c r="AL40" s="107"/>
      <c r="AM40" s="107"/>
      <c r="AN40" s="107"/>
      <c r="AO40" s="107"/>
      <c r="AP40" s="79"/>
      <c r="AQ40" s="98"/>
      <c r="AR40" s="78"/>
      <c r="AS40" s="98"/>
      <c r="AT40" s="76"/>
      <c r="AU40" s="98"/>
      <c r="AV40" s="99"/>
      <c r="AW40" s="99"/>
      <c r="AX40" s="97"/>
      <c r="AY40" s="97"/>
      <c r="AZ40" s="97"/>
      <c r="BA40" s="98"/>
      <c r="BB40" s="98"/>
      <c r="BC40" s="98"/>
      <c r="BD40" s="98"/>
      <c r="BE40" s="98"/>
      <c r="BF40" s="108"/>
      <c r="BG40" s="108"/>
      <c r="BH40" s="108"/>
      <c r="BI40" s="108"/>
      <c r="BJ40" s="100"/>
      <c r="BK40" s="78"/>
      <c r="BL40" s="78"/>
      <c r="BM40" s="78"/>
      <c r="BN40" s="78"/>
      <c r="BO40" s="78"/>
      <c r="BP40" s="109"/>
      <c r="BQ40" s="109"/>
      <c r="BR40" s="109"/>
      <c r="BS40" s="109"/>
      <c r="BT40" s="109"/>
      <c r="BU40" s="101"/>
    </row>
    <row r="41">
      <c r="B41" s="67" t="s">
        <v>101</v>
      </c>
      <c r="C41" s="61" t="s">
        <v>102</v>
      </c>
      <c r="D41" s="62"/>
      <c r="E41" s="63">
        <f t="shared" ref="E41:F41" si="14">SUM(E42:E46)</f>
        <v>46</v>
      </c>
      <c r="F41" s="63">
        <f t="shared" si="14"/>
        <v>46</v>
      </c>
      <c r="G41" s="114">
        <v>0.0</v>
      </c>
      <c r="H41" s="62"/>
      <c r="I41" s="84"/>
      <c r="J41" s="84"/>
      <c r="K41" s="64"/>
      <c r="L41" s="115">
        <f t="shared" si="2"/>
        <v>1</v>
      </c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</row>
    <row r="42" ht="15.75" customHeight="1">
      <c r="A42" s="101"/>
      <c r="B42" s="116" t="s">
        <v>103</v>
      </c>
      <c r="C42" s="68" t="s">
        <v>104</v>
      </c>
      <c r="D42" s="102" t="s">
        <v>43</v>
      </c>
      <c r="E42" s="103">
        <v>12.0</v>
      </c>
      <c r="F42" s="103">
        <v>12.0</v>
      </c>
      <c r="G42" s="117">
        <v>0.0</v>
      </c>
      <c r="H42" s="68">
        <v>5.0</v>
      </c>
      <c r="I42" s="71">
        <v>45943.0</v>
      </c>
      <c r="J42" s="71">
        <v>45950.0</v>
      </c>
      <c r="K42" s="118">
        <f t="shared" ref="K42:K46" si="15">J42-I42+1</f>
        <v>8</v>
      </c>
      <c r="L42" s="115">
        <f t="shared" si="2"/>
        <v>1</v>
      </c>
      <c r="M42" s="98"/>
      <c r="N42" s="98"/>
      <c r="O42" s="98"/>
      <c r="P42" s="98"/>
      <c r="Q42" s="98"/>
      <c r="R42" s="104"/>
      <c r="S42" s="104"/>
      <c r="T42" s="104"/>
      <c r="U42" s="104"/>
      <c r="V42" s="104"/>
      <c r="W42" s="98"/>
      <c r="X42" s="98"/>
      <c r="Y42" s="98"/>
      <c r="Z42" s="98"/>
      <c r="AA42" s="98"/>
      <c r="AB42" s="105"/>
      <c r="AC42" s="105"/>
      <c r="AD42" s="105"/>
      <c r="AE42" s="105"/>
      <c r="AF42" s="105"/>
      <c r="AG42" s="106"/>
      <c r="AH42" s="106"/>
      <c r="AI42" s="106"/>
      <c r="AJ42" s="106"/>
      <c r="AK42" s="106"/>
      <c r="AL42" s="107"/>
      <c r="AM42" s="107"/>
      <c r="AN42" s="107"/>
      <c r="AO42" s="107"/>
      <c r="AP42" s="79"/>
      <c r="AQ42" s="98"/>
      <c r="AR42" s="78"/>
      <c r="AS42" s="98"/>
      <c r="AT42" s="76"/>
      <c r="AU42" s="98"/>
      <c r="AV42" s="99"/>
      <c r="AW42" s="99"/>
      <c r="AX42" s="99"/>
      <c r="AY42" s="99"/>
      <c r="AZ42" s="99"/>
      <c r="BA42" s="119"/>
      <c r="BB42" s="119"/>
      <c r="BC42" s="119"/>
      <c r="BD42" s="119"/>
      <c r="BE42" s="119"/>
      <c r="BF42" s="119"/>
      <c r="BG42" s="108"/>
      <c r="BH42" s="108"/>
      <c r="BI42" s="108"/>
      <c r="BJ42" s="100"/>
      <c r="BK42" s="78"/>
      <c r="BL42" s="78"/>
      <c r="BM42" s="78"/>
      <c r="BN42" s="78"/>
      <c r="BO42" s="78"/>
      <c r="BP42" s="109"/>
      <c r="BQ42" s="109"/>
      <c r="BR42" s="109"/>
      <c r="BS42" s="109"/>
      <c r="BT42" s="109"/>
      <c r="BU42" s="101"/>
    </row>
    <row r="43" ht="15.75" customHeight="1">
      <c r="A43" s="101"/>
      <c r="B43" s="116" t="s">
        <v>105</v>
      </c>
      <c r="C43" s="68" t="s">
        <v>106</v>
      </c>
      <c r="D43" s="102" t="s">
        <v>43</v>
      </c>
      <c r="E43" s="103">
        <v>8.0</v>
      </c>
      <c r="F43" s="103">
        <v>8.0</v>
      </c>
      <c r="G43" s="117">
        <v>0.0</v>
      </c>
      <c r="H43" s="68">
        <v>5.0</v>
      </c>
      <c r="I43" s="71">
        <v>45950.0</v>
      </c>
      <c r="J43" s="71">
        <v>45954.0</v>
      </c>
      <c r="K43" s="118">
        <f t="shared" si="15"/>
        <v>5</v>
      </c>
      <c r="L43" s="115">
        <f t="shared" si="2"/>
        <v>1</v>
      </c>
      <c r="M43" s="98"/>
      <c r="N43" s="98"/>
      <c r="O43" s="98"/>
      <c r="P43" s="98"/>
      <c r="Q43" s="98"/>
      <c r="R43" s="104"/>
      <c r="S43" s="104"/>
      <c r="T43" s="104"/>
      <c r="U43" s="104"/>
      <c r="V43" s="104"/>
      <c r="W43" s="98"/>
      <c r="X43" s="98"/>
      <c r="Y43" s="98"/>
      <c r="Z43" s="98"/>
      <c r="AA43" s="98"/>
      <c r="AB43" s="105"/>
      <c r="AC43" s="105"/>
      <c r="AD43" s="105"/>
      <c r="AE43" s="105"/>
      <c r="AF43" s="105"/>
      <c r="AG43" s="106"/>
      <c r="AH43" s="106"/>
      <c r="AI43" s="106"/>
      <c r="AJ43" s="106"/>
      <c r="AK43" s="106"/>
      <c r="AL43" s="107"/>
      <c r="AM43" s="107"/>
      <c r="AN43" s="107"/>
      <c r="AO43" s="107"/>
      <c r="AP43" s="79"/>
      <c r="AQ43" s="98"/>
      <c r="AR43" s="78"/>
      <c r="AS43" s="98"/>
      <c r="AT43" s="76"/>
      <c r="AU43" s="98"/>
      <c r="AV43" s="99"/>
      <c r="AW43" s="99"/>
      <c r="AX43" s="99"/>
      <c r="AY43" s="99"/>
      <c r="AZ43" s="99"/>
      <c r="BA43" s="106"/>
      <c r="BB43" s="106"/>
      <c r="BC43" s="98"/>
      <c r="BD43" s="98"/>
      <c r="BE43" s="98"/>
      <c r="BF43" s="119"/>
      <c r="BG43" s="119"/>
      <c r="BH43" s="119"/>
      <c r="BI43" s="119"/>
      <c r="BJ43" s="120"/>
      <c r="BK43" s="78"/>
      <c r="BL43" s="78"/>
      <c r="BM43" s="78"/>
      <c r="BN43" s="78"/>
      <c r="BO43" s="78"/>
      <c r="BP43" s="109"/>
      <c r="BQ43" s="109"/>
      <c r="BR43" s="109"/>
      <c r="BS43" s="109"/>
      <c r="BT43" s="109"/>
      <c r="BU43" s="101"/>
    </row>
    <row r="44" ht="15.75" customHeight="1">
      <c r="A44" s="101"/>
      <c r="B44" s="116" t="s">
        <v>107</v>
      </c>
      <c r="C44" s="68" t="s">
        <v>108</v>
      </c>
      <c r="D44" s="102" t="s">
        <v>43</v>
      </c>
      <c r="E44" s="103">
        <v>12.0</v>
      </c>
      <c r="F44" s="103">
        <v>12.0</v>
      </c>
      <c r="G44" s="117">
        <v>0.0</v>
      </c>
      <c r="H44" s="68">
        <v>5.0</v>
      </c>
      <c r="I44" s="71">
        <v>45950.0</v>
      </c>
      <c r="J44" s="71">
        <v>45954.0</v>
      </c>
      <c r="K44" s="118">
        <f t="shared" si="15"/>
        <v>5</v>
      </c>
      <c r="L44" s="115">
        <f t="shared" si="2"/>
        <v>1</v>
      </c>
      <c r="M44" s="98"/>
      <c r="N44" s="98"/>
      <c r="O44" s="98"/>
      <c r="P44" s="98"/>
      <c r="Q44" s="98"/>
      <c r="R44" s="104"/>
      <c r="S44" s="104"/>
      <c r="T44" s="104"/>
      <c r="U44" s="104"/>
      <c r="V44" s="104"/>
      <c r="W44" s="98"/>
      <c r="X44" s="98"/>
      <c r="Y44" s="98"/>
      <c r="Z44" s="98"/>
      <c r="AA44" s="98"/>
      <c r="AB44" s="105"/>
      <c r="AC44" s="105"/>
      <c r="AD44" s="105"/>
      <c r="AE44" s="105"/>
      <c r="AF44" s="105"/>
      <c r="AG44" s="106"/>
      <c r="AH44" s="106"/>
      <c r="AI44" s="106"/>
      <c r="AJ44" s="106"/>
      <c r="AK44" s="106"/>
      <c r="AL44" s="107"/>
      <c r="AM44" s="107"/>
      <c r="AN44" s="107"/>
      <c r="AO44" s="107"/>
      <c r="AP44" s="79"/>
      <c r="AQ44" s="98"/>
      <c r="AR44" s="78"/>
      <c r="AS44" s="98"/>
      <c r="AT44" s="76"/>
      <c r="AU44" s="98"/>
      <c r="AV44" s="99"/>
      <c r="AW44" s="99"/>
      <c r="AX44" s="99"/>
      <c r="AY44" s="99"/>
      <c r="AZ44" s="99"/>
      <c r="BA44" s="98"/>
      <c r="BB44" s="98"/>
      <c r="BC44" s="98"/>
      <c r="BD44" s="98"/>
      <c r="BE44" s="98"/>
      <c r="BF44" s="119"/>
      <c r="BG44" s="119"/>
      <c r="BH44" s="119"/>
      <c r="BI44" s="119"/>
      <c r="BJ44" s="120"/>
      <c r="BK44" s="78"/>
      <c r="BL44" s="78"/>
      <c r="BM44" s="78"/>
      <c r="BN44" s="78"/>
      <c r="BO44" s="78"/>
      <c r="BP44" s="109"/>
      <c r="BQ44" s="109"/>
      <c r="BR44" s="109"/>
      <c r="BS44" s="109"/>
      <c r="BT44" s="109"/>
      <c r="BU44" s="101"/>
    </row>
    <row r="45" ht="15.75" customHeight="1">
      <c r="A45" s="101"/>
      <c r="B45" s="116" t="s">
        <v>109</v>
      </c>
      <c r="C45" s="68" t="s">
        <v>110</v>
      </c>
      <c r="D45" s="102" t="s">
        <v>43</v>
      </c>
      <c r="E45" s="103">
        <v>3.0</v>
      </c>
      <c r="F45" s="103">
        <v>3.0</v>
      </c>
      <c r="G45" s="117">
        <v>0.0</v>
      </c>
      <c r="H45" s="68">
        <v>5.0</v>
      </c>
      <c r="I45" s="71">
        <v>45951.0</v>
      </c>
      <c r="J45" s="71">
        <v>45952.0</v>
      </c>
      <c r="K45" s="118">
        <f t="shared" si="15"/>
        <v>2</v>
      </c>
      <c r="L45" s="115">
        <f t="shared" si="2"/>
        <v>1</v>
      </c>
      <c r="M45" s="98"/>
      <c r="N45" s="98"/>
      <c r="O45" s="98"/>
      <c r="P45" s="98"/>
      <c r="Q45" s="98"/>
      <c r="R45" s="104"/>
      <c r="S45" s="104"/>
      <c r="T45" s="104"/>
      <c r="U45" s="104"/>
      <c r="V45" s="104"/>
      <c r="W45" s="98"/>
      <c r="X45" s="98"/>
      <c r="Y45" s="98"/>
      <c r="Z45" s="98"/>
      <c r="AA45" s="98"/>
      <c r="AB45" s="105"/>
      <c r="AC45" s="105"/>
      <c r="AD45" s="105"/>
      <c r="AE45" s="105"/>
      <c r="AF45" s="105"/>
      <c r="AG45" s="106"/>
      <c r="AH45" s="106"/>
      <c r="AI45" s="106"/>
      <c r="AJ45" s="106"/>
      <c r="AK45" s="106"/>
      <c r="AL45" s="107"/>
      <c r="AM45" s="107"/>
      <c r="AN45" s="107"/>
      <c r="AO45" s="107"/>
      <c r="AP45" s="79"/>
      <c r="AQ45" s="98"/>
      <c r="AR45" s="78"/>
      <c r="AS45" s="98"/>
      <c r="AT45" s="76"/>
      <c r="AU45" s="98"/>
      <c r="AV45" s="99"/>
      <c r="AW45" s="99"/>
      <c r="AX45" s="99"/>
      <c r="AY45" s="99"/>
      <c r="AZ45" s="99"/>
      <c r="BA45" s="106"/>
      <c r="BB45" s="106"/>
      <c r="BC45" s="106"/>
      <c r="BD45" s="106"/>
      <c r="BE45" s="106"/>
      <c r="BF45" s="108"/>
      <c r="BG45" s="119"/>
      <c r="BH45" s="119"/>
      <c r="BI45" s="108"/>
      <c r="BJ45" s="108"/>
      <c r="BK45" s="78"/>
      <c r="BL45" s="78"/>
      <c r="BM45" s="78"/>
      <c r="BN45" s="78"/>
      <c r="BO45" s="78"/>
      <c r="BP45" s="109"/>
      <c r="BQ45" s="109"/>
      <c r="BR45" s="109"/>
      <c r="BS45" s="109"/>
      <c r="BT45" s="109"/>
      <c r="BU45" s="101"/>
    </row>
    <row r="46" ht="15.75" customHeight="1">
      <c r="A46" s="101"/>
      <c r="B46" s="116" t="s">
        <v>111</v>
      </c>
      <c r="C46" s="68" t="s">
        <v>112</v>
      </c>
      <c r="D46" s="102" t="s">
        <v>113</v>
      </c>
      <c r="E46" s="103">
        <v>11.0</v>
      </c>
      <c r="F46" s="103">
        <v>11.0</v>
      </c>
      <c r="G46" s="117">
        <v>0.0</v>
      </c>
      <c r="H46" s="68">
        <v>5.0</v>
      </c>
      <c r="I46" s="71">
        <v>45950.0</v>
      </c>
      <c r="J46" s="71">
        <v>45954.0</v>
      </c>
      <c r="K46" s="118">
        <f t="shared" si="15"/>
        <v>5</v>
      </c>
      <c r="L46" s="115">
        <f t="shared" si="2"/>
        <v>1</v>
      </c>
      <c r="M46" s="98"/>
      <c r="N46" s="98"/>
      <c r="O46" s="98"/>
      <c r="P46" s="98"/>
      <c r="Q46" s="98"/>
      <c r="R46" s="104"/>
      <c r="S46" s="104"/>
      <c r="T46" s="104"/>
      <c r="U46" s="104"/>
      <c r="V46" s="104"/>
      <c r="W46" s="98"/>
      <c r="X46" s="98"/>
      <c r="Y46" s="98"/>
      <c r="Z46" s="98"/>
      <c r="AA46" s="98"/>
      <c r="AB46" s="105"/>
      <c r="AC46" s="105"/>
      <c r="AD46" s="105"/>
      <c r="AE46" s="105"/>
      <c r="AF46" s="105"/>
      <c r="AG46" s="106"/>
      <c r="AH46" s="106"/>
      <c r="AI46" s="106"/>
      <c r="AJ46" s="106"/>
      <c r="AK46" s="106"/>
      <c r="AL46" s="107"/>
      <c r="AM46" s="107"/>
      <c r="AN46" s="107"/>
      <c r="AO46" s="107"/>
      <c r="AP46" s="79"/>
      <c r="AQ46" s="98"/>
      <c r="AR46" s="78"/>
      <c r="AS46" s="98"/>
      <c r="AT46" s="76"/>
      <c r="AU46" s="98"/>
      <c r="AV46" s="99"/>
      <c r="AW46" s="99"/>
      <c r="AX46" s="99"/>
      <c r="AY46" s="99"/>
      <c r="AZ46" s="99"/>
      <c r="BA46" s="98"/>
      <c r="BB46" s="98"/>
      <c r="BC46" s="98"/>
      <c r="BD46" s="98"/>
      <c r="BE46" s="98"/>
      <c r="BF46" s="119"/>
      <c r="BG46" s="119"/>
      <c r="BH46" s="119"/>
      <c r="BI46" s="119"/>
      <c r="BJ46" s="120"/>
      <c r="BK46" s="78"/>
      <c r="BL46" s="78"/>
      <c r="BM46" s="78"/>
      <c r="BN46" s="78"/>
      <c r="BO46" s="78"/>
      <c r="BP46" s="109"/>
      <c r="BQ46" s="109"/>
      <c r="BR46" s="109"/>
      <c r="BS46" s="109"/>
      <c r="BT46" s="109"/>
      <c r="BU46" s="101"/>
    </row>
    <row r="47">
      <c r="B47" s="67" t="s">
        <v>114</v>
      </c>
      <c r="C47" s="61" t="s">
        <v>115</v>
      </c>
      <c r="D47" s="62"/>
      <c r="E47" s="63">
        <f t="shared" ref="E47:F47" si="16">SUM(E48:E53)</f>
        <v>56</v>
      </c>
      <c r="F47" s="63">
        <f t="shared" si="16"/>
        <v>56</v>
      </c>
      <c r="G47" s="114">
        <v>0.0</v>
      </c>
      <c r="H47" s="62"/>
      <c r="I47" s="84"/>
      <c r="J47" s="84"/>
      <c r="K47" s="64"/>
      <c r="L47" s="115">
        <f t="shared" si="2"/>
        <v>1</v>
      </c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</row>
    <row r="48" ht="15.75" customHeight="1">
      <c r="A48" s="101"/>
      <c r="B48" s="116" t="s">
        <v>116</v>
      </c>
      <c r="C48" s="68" t="s">
        <v>117</v>
      </c>
      <c r="D48" s="102" t="s">
        <v>40</v>
      </c>
      <c r="E48" s="103">
        <v>12.0</v>
      </c>
      <c r="F48" s="103">
        <v>12.0</v>
      </c>
      <c r="G48" s="117">
        <v>0.0</v>
      </c>
      <c r="H48" s="68">
        <v>6.0</v>
      </c>
      <c r="I48" s="71">
        <v>45957.0</v>
      </c>
      <c r="J48" s="71">
        <v>45964.0</v>
      </c>
      <c r="K48" s="118">
        <f t="shared" ref="K48:K53" si="17">J48-I48+1</f>
        <v>8</v>
      </c>
      <c r="L48" s="115">
        <f t="shared" si="2"/>
        <v>1</v>
      </c>
      <c r="M48" s="98"/>
      <c r="N48" s="98"/>
      <c r="O48" s="98"/>
      <c r="P48" s="98"/>
      <c r="Q48" s="98"/>
      <c r="R48" s="104"/>
      <c r="S48" s="104"/>
      <c r="T48" s="104"/>
      <c r="U48" s="104"/>
      <c r="V48" s="104"/>
      <c r="W48" s="98"/>
      <c r="X48" s="98"/>
      <c r="Y48" s="98"/>
      <c r="Z48" s="98"/>
      <c r="AA48" s="98"/>
      <c r="AB48" s="105"/>
      <c r="AC48" s="105"/>
      <c r="AD48" s="105"/>
      <c r="AE48" s="105"/>
      <c r="AF48" s="105"/>
      <c r="AG48" s="106"/>
      <c r="AH48" s="106"/>
      <c r="AI48" s="106"/>
      <c r="AJ48" s="106"/>
      <c r="AK48" s="106"/>
      <c r="AL48" s="107"/>
      <c r="AM48" s="107"/>
      <c r="AN48" s="107"/>
      <c r="AO48" s="107"/>
      <c r="AP48" s="79"/>
      <c r="AQ48" s="98"/>
      <c r="AR48" s="78"/>
      <c r="AS48" s="98"/>
      <c r="AT48" s="76"/>
      <c r="AU48" s="98"/>
      <c r="AV48" s="99"/>
      <c r="AW48" s="99"/>
      <c r="AX48" s="99"/>
      <c r="AY48" s="99"/>
      <c r="AZ48" s="99"/>
      <c r="BA48" s="98"/>
      <c r="BB48" s="98"/>
      <c r="BC48" s="98"/>
      <c r="BD48" s="98"/>
      <c r="BE48" s="98"/>
      <c r="BF48" s="108"/>
      <c r="BG48" s="108"/>
      <c r="BH48" s="108"/>
      <c r="BI48" s="108"/>
      <c r="BJ48" s="100"/>
      <c r="BK48" s="121"/>
      <c r="BL48" s="121"/>
      <c r="BM48" s="121"/>
      <c r="BN48" s="121"/>
      <c r="BO48" s="121"/>
      <c r="BP48" s="122"/>
      <c r="BQ48" s="109"/>
      <c r="BR48" s="109"/>
      <c r="BS48" s="109"/>
      <c r="BT48" s="109"/>
      <c r="BU48" s="101"/>
    </row>
    <row r="49" ht="15.75" customHeight="1">
      <c r="A49" s="101"/>
      <c r="B49" s="116" t="s">
        <v>118</v>
      </c>
      <c r="C49" s="68" t="s">
        <v>119</v>
      </c>
      <c r="D49" s="102" t="s">
        <v>40</v>
      </c>
      <c r="E49" s="103">
        <v>3.0</v>
      </c>
      <c r="F49" s="103">
        <v>3.0</v>
      </c>
      <c r="G49" s="117">
        <v>0.0</v>
      </c>
      <c r="H49" s="68">
        <v>6.0</v>
      </c>
      <c r="I49" s="71">
        <v>45964.0</v>
      </c>
      <c r="J49" s="71">
        <v>45965.0</v>
      </c>
      <c r="K49" s="118">
        <f t="shared" si="17"/>
        <v>2</v>
      </c>
      <c r="L49" s="115">
        <f t="shared" si="2"/>
        <v>1</v>
      </c>
      <c r="M49" s="98"/>
      <c r="N49" s="98"/>
      <c r="O49" s="98"/>
      <c r="P49" s="98"/>
      <c r="Q49" s="98"/>
      <c r="R49" s="104"/>
      <c r="S49" s="104"/>
      <c r="T49" s="104"/>
      <c r="U49" s="104"/>
      <c r="V49" s="104"/>
      <c r="W49" s="98"/>
      <c r="X49" s="98"/>
      <c r="Y49" s="98"/>
      <c r="Z49" s="98"/>
      <c r="AA49" s="98"/>
      <c r="AB49" s="105"/>
      <c r="AC49" s="105"/>
      <c r="AD49" s="105"/>
      <c r="AE49" s="105"/>
      <c r="AF49" s="105"/>
      <c r="AG49" s="106"/>
      <c r="AH49" s="106"/>
      <c r="AI49" s="106"/>
      <c r="AJ49" s="106"/>
      <c r="AK49" s="106"/>
      <c r="AL49" s="107"/>
      <c r="AM49" s="107"/>
      <c r="AN49" s="107"/>
      <c r="AO49" s="107"/>
      <c r="AP49" s="79"/>
      <c r="AQ49" s="98"/>
      <c r="AR49" s="78"/>
      <c r="AS49" s="98"/>
      <c r="AT49" s="76"/>
      <c r="AU49" s="98"/>
      <c r="AV49" s="99"/>
      <c r="AW49" s="99"/>
      <c r="AX49" s="99"/>
      <c r="AY49" s="99"/>
      <c r="AZ49" s="99"/>
      <c r="BA49" s="98"/>
      <c r="BB49" s="98"/>
      <c r="BC49" s="98"/>
      <c r="BD49" s="98"/>
      <c r="BE49" s="98"/>
      <c r="BF49" s="108"/>
      <c r="BG49" s="108"/>
      <c r="BH49" s="108"/>
      <c r="BI49" s="108"/>
      <c r="BJ49" s="100"/>
      <c r="BK49" s="78"/>
      <c r="BL49" s="78"/>
      <c r="BM49" s="78"/>
      <c r="BN49" s="78"/>
      <c r="BO49" s="78"/>
      <c r="BP49" s="122"/>
      <c r="BQ49" s="122"/>
      <c r="BR49" s="109"/>
      <c r="BS49" s="109"/>
      <c r="BT49" s="109"/>
      <c r="BU49" s="101"/>
    </row>
    <row r="50" ht="15.75" customHeight="1">
      <c r="A50" s="101"/>
      <c r="B50" s="116" t="s">
        <v>120</v>
      </c>
      <c r="C50" s="68" t="s">
        <v>121</v>
      </c>
      <c r="D50" s="102" t="s">
        <v>40</v>
      </c>
      <c r="E50" s="103">
        <v>6.0</v>
      </c>
      <c r="F50" s="103">
        <v>6.0</v>
      </c>
      <c r="G50" s="117">
        <v>0.0</v>
      </c>
      <c r="H50" s="68">
        <v>6.0</v>
      </c>
      <c r="I50" s="71">
        <v>45965.0</v>
      </c>
      <c r="J50" s="71">
        <v>45968.0</v>
      </c>
      <c r="K50" s="118">
        <f t="shared" si="17"/>
        <v>4</v>
      </c>
      <c r="L50" s="115">
        <f t="shared" si="2"/>
        <v>1</v>
      </c>
      <c r="M50" s="98"/>
      <c r="N50" s="98"/>
      <c r="O50" s="98"/>
      <c r="P50" s="98"/>
      <c r="Q50" s="98"/>
      <c r="R50" s="104"/>
      <c r="S50" s="104"/>
      <c r="T50" s="104"/>
      <c r="U50" s="104"/>
      <c r="V50" s="104"/>
      <c r="W50" s="98"/>
      <c r="X50" s="98"/>
      <c r="Y50" s="98"/>
      <c r="Z50" s="98"/>
      <c r="AA50" s="98"/>
      <c r="AB50" s="105"/>
      <c r="AC50" s="105"/>
      <c r="AD50" s="105"/>
      <c r="AE50" s="105"/>
      <c r="AF50" s="105"/>
      <c r="AG50" s="106"/>
      <c r="AH50" s="106"/>
      <c r="AI50" s="106"/>
      <c r="AJ50" s="106"/>
      <c r="AK50" s="106"/>
      <c r="AL50" s="107"/>
      <c r="AM50" s="107"/>
      <c r="AN50" s="107"/>
      <c r="AO50" s="107"/>
      <c r="AP50" s="79"/>
      <c r="AQ50" s="98"/>
      <c r="AR50" s="78"/>
      <c r="AS50" s="98"/>
      <c r="AT50" s="76"/>
      <c r="AU50" s="98"/>
      <c r="AV50" s="99"/>
      <c r="AW50" s="99"/>
      <c r="AX50" s="99"/>
      <c r="AY50" s="99"/>
      <c r="AZ50" s="99"/>
      <c r="BA50" s="98"/>
      <c r="BB50" s="98"/>
      <c r="BC50" s="98"/>
      <c r="BD50" s="98"/>
      <c r="BE50" s="98"/>
      <c r="BF50" s="108"/>
      <c r="BG50" s="108"/>
      <c r="BH50" s="108"/>
      <c r="BI50" s="108"/>
      <c r="BJ50" s="100"/>
      <c r="BK50" s="78"/>
      <c r="BL50" s="78"/>
      <c r="BM50" s="78"/>
      <c r="BN50" s="78"/>
      <c r="BO50" s="78"/>
      <c r="BP50" s="109"/>
      <c r="BQ50" s="122"/>
      <c r="BR50" s="122"/>
      <c r="BS50" s="122"/>
      <c r="BT50" s="122"/>
      <c r="BU50" s="101"/>
    </row>
    <row r="51" ht="15.75" customHeight="1">
      <c r="A51" s="101"/>
      <c r="B51" s="116" t="s">
        <v>122</v>
      </c>
      <c r="C51" s="68" t="s">
        <v>123</v>
      </c>
      <c r="D51" s="102" t="s">
        <v>73</v>
      </c>
      <c r="E51" s="103">
        <v>8.0</v>
      </c>
      <c r="F51" s="103">
        <v>8.0</v>
      </c>
      <c r="G51" s="117">
        <v>0.0</v>
      </c>
      <c r="H51" s="68">
        <v>6.0</v>
      </c>
      <c r="I51" s="71">
        <v>45959.0</v>
      </c>
      <c r="J51" s="71">
        <v>45966.0</v>
      </c>
      <c r="K51" s="118">
        <f t="shared" si="17"/>
        <v>8</v>
      </c>
      <c r="L51" s="115">
        <f t="shared" si="2"/>
        <v>1</v>
      </c>
      <c r="M51" s="98"/>
      <c r="N51" s="98"/>
      <c r="O51" s="98"/>
      <c r="P51" s="98"/>
      <c r="Q51" s="98"/>
      <c r="R51" s="104"/>
      <c r="S51" s="104"/>
      <c r="T51" s="104"/>
      <c r="U51" s="104"/>
      <c r="V51" s="104"/>
      <c r="W51" s="98"/>
      <c r="X51" s="98"/>
      <c r="Y51" s="98"/>
      <c r="Z51" s="98"/>
      <c r="AA51" s="98"/>
      <c r="AB51" s="105"/>
      <c r="AC51" s="105"/>
      <c r="AD51" s="105"/>
      <c r="AE51" s="105"/>
      <c r="AF51" s="105"/>
      <c r="AG51" s="106"/>
      <c r="AH51" s="106"/>
      <c r="AI51" s="106"/>
      <c r="AJ51" s="106"/>
      <c r="AK51" s="106"/>
      <c r="AL51" s="107"/>
      <c r="AM51" s="107"/>
      <c r="AN51" s="107"/>
      <c r="AO51" s="107"/>
      <c r="AP51" s="79"/>
      <c r="AQ51" s="98"/>
      <c r="AR51" s="78"/>
      <c r="AS51" s="98"/>
      <c r="AT51" s="76"/>
      <c r="AU51" s="98"/>
      <c r="AV51" s="99"/>
      <c r="AW51" s="99"/>
      <c r="AX51" s="99"/>
      <c r="AY51" s="99"/>
      <c r="AZ51" s="99"/>
      <c r="BA51" s="98"/>
      <c r="BB51" s="98"/>
      <c r="BC51" s="98"/>
      <c r="BD51" s="98"/>
      <c r="BE51" s="98"/>
      <c r="BF51" s="108"/>
      <c r="BG51" s="108"/>
      <c r="BH51" s="108"/>
      <c r="BI51" s="108"/>
      <c r="BJ51" s="100"/>
      <c r="BK51" s="78"/>
      <c r="BL51" s="78"/>
      <c r="BM51" s="121"/>
      <c r="BN51" s="121"/>
      <c r="BO51" s="121"/>
      <c r="BP51" s="122"/>
      <c r="BQ51" s="122"/>
      <c r="BR51" s="122"/>
      <c r="BS51" s="109"/>
      <c r="BT51" s="109"/>
      <c r="BU51" s="101"/>
    </row>
    <row r="52" ht="15.75" customHeight="1">
      <c r="A52" s="101"/>
      <c r="B52" s="116" t="s">
        <v>124</v>
      </c>
      <c r="C52" s="68" t="s">
        <v>125</v>
      </c>
      <c r="D52" s="102" t="s">
        <v>126</v>
      </c>
      <c r="E52" s="103">
        <v>5.0</v>
      </c>
      <c r="F52" s="103">
        <v>5.0</v>
      </c>
      <c r="G52" s="117">
        <v>0.0</v>
      </c>
      <c r="H52" s="68">
        <v>6.0</v>
      </c>
      <c r="I52" s="71">
        <v>45966.0</v>
      </c>
      <c r="J52" s="71">
        <v>45967.0</v>
      </c>
      <c r="K52" s="118">
        <f t="shared" si="17"/>
        <v>2</v>
      </c>
      <c r="L52" s="115">
        <f t="shared" si="2"/>
        <v>1</v>
      </c>
      <c r="M52" s="98"/>
      <c r="N52" s="98"/>
      <c r="O52" s="98"/>
      <c r="P52" s="98"/>
      <c r="Q52" s="98"/>
      <c r="R52" s="104"/>
      <c r="S52" s="104"/>
      <c r="T52" s="104"/>
      <c r="U52" s="104"/>
      <c r="V52" s="104"/>
      <c r="W52" s="98"/>
      <c r="X52" s="98"/>
      <c r="Y52" s="98"/>
      <c r="Z52" s="98"/>
      <c r="AA52" s="98"/>
      <c r="AB52" s="105"/>
      <c r="AC52" s="105"/>
      <c r="AD52" s="105"/>
      <c r="AE52" s="105"/>
      <c r="AF52" s="105"/>
      <c r="AG52" s="106"/>
      <c r="AH52" s="106"/>
      <c r="AI52" s="106"/>
      <c r="AJ52" s="106"/>
      <c r="AK52" s="106"/>
      <c r="AL52" s="107"/>
      <c r="AM52" s="107"/>
      <c r="AN52" s="107"/>
      <c r="AO52" s="107"/>
      <c r="AP52" s="79"/>
      <c r="AQ52" s="98"/>
      <c r="AR52" s="78"/>
      <c r="AS52" s="98"/>
      <c r="AT52" s="76"/>
      <c r="AU52" s="98"/>
      <c r="AV52" s="99"/>
      <c r="AW52" s="99"/>
      <c r="AX52" s="99"/>
      <c r="AY52" s="99"/>
      <c r="AZ52" s="99"/>
      <c r="BA52" s="98"/>
      <c r="BB52" s="98"/>
      <c r="BC52" s="98"/>
      <c r="BD52" s="98"/>
      <c r="BE52" s="98"/>
      <c r="BF52" s="108"/>
      <c r="BG52" s="108"/>
      <c r="BH52" s="108"/>
      <c r="BI52" s="108"/>
      <c r="BJ52" s="100"/>
      <c r="BK52" s="78"/>
      <c r="BL52" s="78"/>
      <c r="BM52" s="78"/>
      <c r="BN52" s="78"/>
      <c r="BO52" s="78"/>
      <c r="BP52" s="109"/>
      <c r="BQ52" s="109"/>
      <c r="BR52" s="122"/>
      <c r="BS52" s="122"/>
      <c r="BT52" s="109"/>
      <c r="BU52" s="101"/>
    </row>
    <row r="53" ht="15.75" customHeight="1">
      <c r="A53" s="101"/>
      <c r="B53" s="116" t="s">
        <v>127</v>
      </c>
      <c r="C53" s="68" t="s">
        <v>128</v>
      </c>
      <c r="D53" s="102" t="s">
        <v>129</v>
      </c>
      <c r="E53" s="103">
        <v>22.0</v>
      </c>
      <c r="F53" s="103">
        <v>22.0</v>
      </c>
      <c r="G53" s="117">
        <v>0.0</v>
      </c>
      <c r="H53" s="68">
        <v>6.0</v>
      </c>
      <c r="I53" s="71">
        <v>45957.0</v>
      </c>
      <c r="J53" s="71">
        <v>45968.0</v>
      </c>
      <c r="K53" s="118">
        <f t="shared" si="17"/>
        <v>12</v>
      </c>
      <c r="L53" s="115">
        <f t="shared" si="2"/>
        <v>1</v>
      </c>
      <c r="M53" s="98"/>
      <c r="N53" s="98"/>
      <c r="O53" s="98"/>
      <c r="P53" s="98"/>
      <c r="Q53" s="98"/>
      <c r="R53" s="104"/>
      <c r="S53" s="104"/>
      <c r="T53" s="104"/>
      <c r="U53" s="104"/>
      <c r="V53" s="104"/>
      <c r="W53" s="98"/>
      <c r="X53" s="98"/>
      <c r="Y53" s="98"/>
      <c r="Z53" s="98"/>
      <c r="AA53" s="98"/>
      <c r="AB53" s="105"/>
      <c r="AC53" s="105"/>
      <c r="AD53" s="105"/>
      <c r="AE53" s="105"/>
      <c r="AF53" s="105"/>
      <c r="AG53" s="106"/>
      <c r="AH53" s="106"/>
      <c r="AI53" s="106"/>
      <c r="AJ53" s="106"/>
      <c r="AK53" s="106"/>
      <c r="AL53" s="107"/>
      <c r="AM53" s="107"/>
      <c r="AN53" s="107"/>
      <c r="AO53" s="107"/>
      <c r="AP53" s="79"/>
      <c r="AQ53" s="98"/>
      <c r="AR53" s="78"/>
      <c r="AS53" s="98"/>
      <c r="AT53" s="76"/>
      <c r="AU53" s="98"/>
      <c r="AV53" s="99"/>
      <c r="AW53" s="99"/>
      <c r="AX53" s="99"/>
      <c r="AY53" s="99"/>
      <c r="AZ53" s="99"/>
      <c r="BA53" s="98"/>
      <c r="BB53" s="98"/>
      <c r="BC53" s="98"/>
      <c r="BD53" s="98"/>
      <c r="BE53" s="98"/>
      <c r="BF53" s="108"/>
      <c r="BG53" s="108"/>
      <c r="BH53" s="108"/>
      <c r="BI53" s="108"/>
      <c r="BJ53" s="100"/>
      <c r="BK53" s="121"/>
      <c r="BL53" s="121"/>
      <c r="BM53" s="121"/>
      <c r="BN53" s="121"/>
      <c r="BO53" s="121"/>
      <c r="BP53" s="122"/>
      <c r="BQ53" s="122"/>
      <c r="BR53" s="122"/>
      <c r="BS53" s="122"/>
      <c r="BT53" s="122"/>
      <c r="BU53" s="101"/>
    </row>
    <row r="54" ht="18.75" customHeight="1">
      <c r="C54" s="123"/>
      <c r="D54" s="123"/>
    </row>
    <row r="55" ht="18.0" customHeight="1">
      <c r="E55" s="124" t="s">
        <v>130</v>
      </c>
      <c r="F55" s="124" t="s">
        <v>31</v>
      </c>
      <c r="G55" s="124" t="s">
        <v>32</v>
      </c>
      <c r="H55" s="124" t="s">
        <v>131</v>
      </c>
      <c r="I55" s="124" t="s">
        <v>132</v>
      </c>
    </row>
    <row r="56" ht="15.75" customHeight="1"/>
    <row r="57" ht="18.0" customHeight="1">
      <c r="C57" s="5" t="s">
        <v>133</v>
      </c>
      <c r="D57" s="125" t="s">
        <v>134</v>
      </c>
      <c r="E57" s="126">
        <f t="shared" ref="E57:G57" si="18">SUM(E12+E18+E26+E34+E41+E47)</f>
        <v>300</v>
      </c>
      <c r="F57" s="126">
        <f t="shared" si="18"/>
        <v>300</v>
      </c>
      <c r="G57" s="126">
        <f t="shared" si="18"/>
        <v>0</v>
      </c>
      <c r="H57" s="127">
        <v>58.0</v>
      </c>
      <c r="I57" s="126">
        <f>E57/H57</f>
        <v>5.172413793</v>
      </c>
      <c r="L57" s="128" t="s">
        <v>135</v>
      </c>
      <c r="M57" s="129">
        <v>1.0</v>
      </c>
      <c r="N57" s="129">
        <v>2.0</v>
      </c>
      <c r="O57" s="129">
        <v>3.0</v>
      </c>
      <c r="P57" s="129">
        <v>4.0</v>
      </c>
      <c r="Q57" s="129">
        <v>5.0</v>
      </c>
      <c r="R57" s="129">
        <v>6.0</v>
      </c>
      <c r="S57" s="129">
        <v>7.0</v>
      </c>
      <c r="T57" s="129">
        <v>8.0</v>
      </c>
      <c r="U57" s="129">
        <v>9.0</v>
      </c>
      <c r="V57" s="129">
        <v>10.0</v>
      </c>
      <c r="W57" s="129">
        <v>11.0</v>
      </c>
      <c r="X57" s="129">
        <v>12.0</v>
      </c>
      <c r="Y57" s="129">
        <v>13.0</v>
      </c>
      <c r="Z57" s="129">
        <v>14.0</v>
      </c>
      <c r="AA57" s="129">
        <v>15.0</v>
      </c>
      <c r="AB57" s="129">
        <v>16.0</v>
      </c>
      <c r="AC57" s="129">
        <v>17.0</v>
      </c>
      <c r="AD57" s="129">
        <v>18.0</v>
      </c>
      <c r="AE57" s="129">
        <v>19.0</v>
      </c>
      <c r="AF57" s="129">
        <v>20.0</v>
      </c>
      <c r="AG57" s="129">
        <v>21.0</v>
      </c>
      <c r="AH57" s="129">
        <v>22.0</v>
      </c>
      <c r="AI57" s="129">
        <v>23.0</v>
      </c>
      <c r="AJ57" s="129">
        <v>24.0</v>
      </c>
      <c r="AK57" s="129">
        <v>25.0</v>
      </c>
      <c r="AL57" s="129">
        <v>26.0</v>
      </c>
      <c r="AM57" s="129">
        <v>27.0</v>
      </c>
      <c r="AN57" s="129">
        <v>28.0</v>
      </c>
      <c r="AO57" s="129">
        <v>29.0</v>
      </c>
      <c r="AP57" s="129">
        <v>30.0</v>
      </c>
      <c r="AQ57" s="129">
        <v>31.0</v>
      </c>
      <c r="AR57" s="129">
        <v>32.0</v>
      </c>
      <c r="AS57" s="129">
        <v>33.0</v>
      </c>
      <c r="AT57" s="129">
        <v>34.0</v>
      </c>
      <c r="AU57" s="129">
        <v>35.0</v>
      </c>
      <c r="AV57" s="129">
        <v>36.0</v>
      </c>
      <c r="AW57" s="129">
        <v>37.0</v>
      </c>
      <c r="AX57" s="129">
        <v>38.0</v>
      </c>
      <c r="AY57" s="129">
        <v>39.0</v>
      </c>
      <c r="AZ57" s="129">
        <v>40.0</v>
      </c>
      <c r="BA57" s="129">
        <v>41.0</v>
      </c>
      <c r="BB57" s="129">
        <v>42.0</v>
      </c>
      <c r="BC57" s="129">
        <v>43.0</v>
      </c>
      <c r="BD57" s="129">
        <v>44.0</v>
      </c>
      <c r="BE57" s="129">
        <v>45.0</v>
      </c>
      <c r="BF57" s="129">
        <v>46.0</v>
      </c>
      <c r="BG57" s="129">
        <v>47.0</v>
      </c>
      <c r="BH57" s="129">
        <v>48.0</v>
      </c>
      <c r="BI57" s="129">
        <v>49.0</v>
      </c>
      <c r="BJ57" s="129">
        <v>50.0</v>
      </c>
      <c r="BK57" s="129">
        <v>51.0</v>
      </c>
      <c r="BL57" s="129">
        <v>52.0</v>
      </c>
      <c r="BM57" s="129">
        <v>53.0</v>
      </c>
      <c r="BN57" s="129">
        <v>54.0</v>
      </c>
      <c r="BO57" s="129">
        <v>55.0</v>
      </c>
      <c r="BP57" s="129">
        <v>56.0</v>
      </c>
      <c r="BQ57" s="129">
        <v>57.0</v>
      </c>
      <c r="BR57" s="129">
        <v>58.0</v>
      </c>
      <c r="BS57" s="129">
        <v>59.0</v>
      </c>
      <c r="BT57" s="129">
        <v>60.0</v>
      </c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5" t="s">
        <v>134</v>
      </c>
    </row>
    <row r="58" ht="18.0" customHeight="1">
      <c r="H58" s="130" t="s">
        <v>136</v>
      </c>
      <c r="L58" s="128" t="s">
        <v>137</v>
      </c>
      <c r="M58" s="131">
        <f>E57</f>
        <v>300</v>
      </c>
      <c r="N58" s="132">
        <f>M58-I57</f>
        <v>294.8275862</v>
      </c>
      <c r="O58" s="133">
        <f>N58-I57</f>
        <v>289.6551724</v>
      </c>
      <c r="P58" s="133">
        <f>O58-I57</f>
        <v>284.4827586</v>
      </c>
      <c r="Q58" s="133">
        <f>P58-I57</f>
        <v>279.3103448</v>
      </c>
      <c r="R58" s="133">
        <f>Q58-I57</f>
        <v>274.137931</v>
      </c>
      <c r="S58" s="133">
        <f>R58-I57</f>
        <v>268.9655172</v>
      </c>
      <c r="T58" s="133">
        <f>S58-I57</f>
        <v>263.7931034</v>
      </c>
      <c r="U58" s="133">
        <f t="shared" ref="U58:V58" si="19">T58-I57</f>
        <v>258.6206897</v>
      </c>
      <c r="V58" s="133">
        <f t="shared" si="19"/>
        <v>258.6206897</v>
      </c>
      <c r="W58" s="133">
        <f>U58-I57</f>
        <v>253.4482759</v>
      </c>
      <c r="X58" s="133">
        <f>W58-I57</f>
        <v>248.2758621</v>
      </c>
      <c r="Y58" s="133">
        <f>X58-I57</f>
        <v>243.1034483</v>
      </c>
      <c r="Z58" s="133">
        <f>Y58-I57</f>
        <v>237.9310345</v>
      </c>
      <c r="AA58" s="133">
        <f>Z58-I57</f>
        <v>232.7586207</v>
      </c>
      <c r="AB58" s="133">
        <f>AA58-I57</f>
        <v>227.5862069</v>
      </c>
      <c r="AC58" s="133">
        <f>AB58-I57</f>
        <v>222.4137931</v>
      </c>
      <c r="AD58" s="133">
        <f>AC58-I57</f>
        <v>217.2413793</v>
      </c>
      <c r="AE58" s="133">
        <f>AD58-I57</f>
        <v>212.0689655</v>
      </c>
      <c r="AF58" s="133">
        <f>AE58-I57</f>
        <v>206.8965517</v>
      </c>
      <c r="AG58" s="133">
        <f t="shared" ref="AG58:AH58" si="20">AF58-I57</f>
        <v>201.7241379</v>
      </c>
      <c r="AH58" s="133">
        <f t="shared" si="20"/>
        <v>201.7241379</v>
      </c>
      <c r="AI58" s="133">
        <f>AG58-I57</f>
        <v>196.5517241</v>
      </c>
      <c r="AJ58" s="133">
        <f>AI58-I57</f>
        <v>191.3793103</v>
      </c>
      <c r="AK58" s="133">
        <f>AJ58-I57</f>
        <v>186.2068966</v>
      </c>
      <c r="AL58" s="133">
        <f>AK58-I57</f>
        <v>181.0344828</v>
      </c>
      <c r="AM58" s="133">
        <f>AL58-I57</f>
        <v>175.862069</v>
      </c>
      <c r="AN58" s="133">
        <f>AM58-I57</f>
        <v>170.6896552</v>
      </c>
      <c r="AO58" s="133">
        <f>AN58-I57</f>
        <v>165.5172414</v>
      </c>
      <c r="AP58" s="133">
        <f>AO58-I57</f>
        <v>160.3448276</v>
      </c>
      <c r="AQ58" s="133">
        <f>AP58-I57</f>
        <v>155.1724138</v>
      </c>
      <c r="AR58" s="133">
        <f>AQ58-I57</f>
        <v>150</v>
      </c>
      <c r="AS58" s="133">
        <f>AR58-I57</f>
        <v>144.8275862</v>
      </c>
      <c r="AT58" s="133">
        <f>AS58-I57</f>
        <v>139.6551724</v>
      </c>
      <c r="AU58" s="133">
        <f>AT58-I57</f>
        <v>134.4827586</v>
      </c>
      <c r="AV58" s="133">
        <f>AU58-I57</f>
        <v>129.3103448</v>
      </c>
      <c r="AW58" s="133">
        <f>AV58-I57</f>
        <v>124.137931</v>
      </c>
      <c r="AX58" s="133">
        <f>AW58-I57</f>
        <v>118.9655172</v>
      </c>
      <c r="AY58" s="133">
        <f>AX58-I57</f>
        <v>113.7931034</v>
      </c>
      <c r="AZ58" s="133">
        <f>AY58-I57</f>
        <v>108.6206897</v>
      </c>
      <c r="BA58" s="133">
        <f>AZ58-I57</f>
        <v>103.4482759</v>
      </c>
      <c r="BB58" s="133">
        <f>BA58-I57</f>
        <v>98.27586207</v>
      </c>
      <c r="BC58" s="133">
        <f>BB58-I57</f>
        <v>93.10344828</v>
      </c>
      <c r="BD58" s="133">
        <f>BC58-I57</f>
        <v>87.93103448</v>
      </c>
      <c r="BE58" s="133">
        <f>BD58-I57</f>
        <v>82.75862069</v>
      </c>
      <c r="BF58" s="133">
        <f>BE58-I57</f>
        <v>77.5862069</v>
      </c>
      <c r="BG58" s="133">
        <f>BF58-I57</f>
        <v>72.4137931</v>
      </c>
      <c r="BH58" s="133">
        <f>BG58-I57</f>
        <v>67.24137931</v>
      </c>
      <c r="BI58" s="133">
        <f>BH58-I57</f>
        <v>62.06896552</v>
      </c>
      <c r="BJ58" s="133">
        <f>BI58-I57</f>
        <v>56.89655172</v>
      </c>
      <c r="BK58" s="133">
        <f>BJ58-I57</f>
        <v>51.72413793</v>
      </c>
      <c r="BL58" s="133">
        <f>BK58-I57</f>
        <v>46.55172414</v>
      </c>
      <c r="BM58" s="133">
        <f>BL58-I57</f>
        <v>41.37931034</v>
      </c>
      <c r="BN58" s="133">
        <f>BM58-I57</f>
        <v>36.20689655</v>
      </c>
      <c r="BO58" s="133">
        <f>BN58-I57</f>
        <v>31.03448276</v>
      </c>
      <c r="BP58" s="133">
        <f>BO58-I57</f>
        <v>25.86206897</v>
      </c>
      <c r="BQ58" s="133">
        <f>BP58-I57</f>
        <v>20.68965517</v>
      </c>
      <c r="BR58" s="133">
        <f>BQ58-I57</f>
        <v>15.51724138</v>
      </c>
      <c r="BS58" s="133">
        <f>BR58-I57</f>
        <v>10.34482759</v>
      </c>
      <c r="BT58" s="133">
        <f>BS58-I57</f>
        <v>5.172413793</v>
      </c>
      <c r="BU58" s="133"/>
      <c r="BV58" s="133"/>
      <c r="BW58" s="133"/>
      <c r="BX58" s="133"/>
      <c r="BY58" s="133"/>
      <c r="BZ58" s="133"/>
      <c r="CA58" s="133"/>
      <c r="CB58" s="133"/>
      <c r="CC58" s="133"/>
      <c r="CD58" s="133"/>
      <c r="CE58" s="126"/>
    </row>
    <row r="59" ht="18.0" customHeight="1">
      <c r="L59" s="128" t="s">
        <v>130</v>
      </c>
      <c r="M59" s="131">
        <f>E57</f>
        <v>300</v>
      </c>
      <c r="N59" s="131">
        <f t="shared" ref="N59:BT59" si="21">M61</f>
        <v>296</v>
      </c>
      <c r="O59" s="131">
        <f t="shared" si="21"/>
        <v>292</v>
      </c>
      <c r="P59" s="131">
        <f t="shared" si="21"/>
        <v>288</v>
      </c>
      <c r="Q59" s="131">
        <f t="shared" si="21"/>
        <v>283</v>
      </c>
      <c r="R59" s="131">
        <f t="shared" si="21"/>
        <v>278</v>
      </c>
      <c r="S59" s="131">
        <f t="shared" si="21"/>
        <v>273</v>
      </c>
      <c r="T59" s="131">
        <f t="shared" si="21"/>
        <v>268</v>
      </c>
      <c r="U59" s="131">
        <f t="shared" si="21"/>
        <v>264</v>
      </c>
      <c r="V59" s="131">
        <f t="shared" si="21"/>
        <v>264</v>
      </c>
      <c r="W59" s="131">
        <f t="shared" si="21"/>
        <v>259</v>
      </c>
      <c r="X59" s="131">
        <f t="shared" si="21"/>
        <v>252</v>
      </c>
      <c r="Y59" s="131">
        <f t="shared" si="21"/>
        <v>245</v>
      </c>
      <c r="Z59" s="131">
        <f t="shared" si="21"/>
        <v>238</v>
      </c>
      <c r="AA59" s="131">
        <f t="shared" si="21"/>
        <v>232</v>
      </c>
      <c r="AB59" s="131">
        <f t="shared" si="21"/>
        <v>227</v>
      </c>
      <c r="AC59" s="131">
        <f t="shared" si="21"/>
        <v>225</v>
      </c>
      <c r="AD59" s="131">
        <f t="shared" si="21"/>
        <v>223</v>
      </c>
      <c r="AE59" s="131">
        <f t="shared" si="21"/>
        <v>220</v>
      </c>
      <c r="AF59" s="131">
        <f t="shared" si="21"/>
        <v>217</v>
      </c>
      <c r="AG59" s="131">
        <f t="shared" si="21"/>
        <v>217</v>
      </c>
      <c r="AH59" s="131">
        <f t="shared" si="21"/>
        <v>214</v>
      </c>
      <c r="AI59" s="131">
        <f t="shared" si="21"/>
        <v>206</v>
      </c>
      <c r="AJ59" s="131">
        <f t="shared" si="21"/>
        <v>197</v>
      </c>
      <c r="AK59" s="131">
        <f t="shared" si="21"/>
        <v>190</v>
      </c>
      <c r="AL59" s="131">
        <f t="shared" si="21"/>
        <v>183</v>
      </c>
      <c r="AM59" s="131">
        <f t="shared" si="21"/>
        <v>178</v>
      </c>
      <c r="AN59" s="131">
        <f t="shared" si="21"/>
        <v>173</v>
      </c>
      <c r="AO59" s="131">
        <f t="shared" si="21"/>
        <v>169</v>
      </c>
      <c r="AP59" s="131">
        <f t="shared" si="21"/>
        <v>165</v>
      </c>
      <c r="AQ59" s="131">
        <f t="shared" si="21"/>
        <v>164</v>
      </c>
      <c r="AR59" s="131">
        <f t="shared" si="21"/>
        <v>162</v>
      </c>
      <c r="AS59" s="131">
        <f t="shared" si="21"/>
        <v>160</v>
      </c>
      <c r="AT59" s="131">
        <f t="shared" si="21"/>
        <v>153</v>
      </c>
      <c r="AU59" s="131">
        <f t="shared" si="21"/>
        <v>146</v>
      </c>
      <c r="AV59" s="131">
        <f t="shared" si="21"/>
        <v>140</v>
      </c>
      <c r="AW59" s="131">
        <f t="shared" si="21"/>
        <v>133</v>
      </c>
      <c r="AX59" s="131">
        <f t="shared" si="21"/>
        <v>126</v>
      </c>
      <c r="AY59" s="131">
        <f t="shared" si="21"/>
        <v>118</v>
      </c>
      <c r="AZ59" s="131">
        <f t="shared" si="21"/>
        <v>110</v>
      </c>
      <c r="BA59" s="131">
        <f t="shared" si="21"/>
        <v>103</v>
      </c>
      <c r="BB59" s="131">
        <f t="shared" si="21"/>
        <v>99</v>
      </c>
      <c r="BC59" s="131">
        <f t="shared" si="21"/>
        <v>97</v>
      </c>
      <c r="BD59" s="131">
        <f t="shared" si="21"/>
        <v>95</v>
      </c>
      <c r="BE59" s="131">
        <f t="shared" si="21"/>
        <v>93</v>
      </c>
      <c r="BF59" s="131">
        <f t="shared" si="21"/>
        <v>91</v>
      </c>
      <c r="BG59" s="131">
        <f t="shared" si="21"/>
        <v>89</v>
      </c>
      <c r="BH59" s="131">
        <f t="shared" si="21"/>
        <v>80</v>
      </c>
      <c r="BI59" s="131">
        <f t="shared" si="21"/>
        <v>71</v>
      </c>
      <c r="BJ59" s="131">
        <f t="shared" si="21"/>
        <v>63</v>
      </c>
      <c r="BK59" s="131">
        <f t="shared" si="21"/>
        <v>55</v>
      </c>
      <c r="BL59" s="131">
        <f t="shared" si="21"/>
        <v>51</v>
      </c>
      <c r="BM59" s="131">
        <f t="shared" si="21"/>
        <v>47</v>
      </c>
      <c r="BN59" s="131">
        <f t="shared" si="21"/>
        <v>42</v>
      </c>
      <c r="BO59" s="131">
        <f t="shared" si="21"/>
        <v>37</v>
      </c>
      <c r="BP59" s="131">
        <f t="shared" si="21"/>
        <v>31</v>
      </c>
      <c r="BQ59" s="131">
        <f t="shared" si="21"/>
        <v>24</v>
      </c>
      <c r="BR59" s="131">
        <f t="shared" si="21"/>
        <v>17</v>
      </c>
      <c r="BS59" s="131">
        <f t="shared" si="21"/>
        <v>10</v>
      </c>
      <c r="BT59" s="131">
        <f t="shared" si="21"/>
        <v>4</v>
      </c>
      <c r="BU59" s="131"/>
      <c r="BV59" s="131"/>
      <c r="BW59" s="131"/>
      <c r="BX59" s="131"/>
      <c r="BY59" s="131"/>
      <c r="BZ59" s="131"/>
      <c r="CA59" s="131"/>
      <c r="CB59" s="131"/>
      <c r="CC59" s="131"/>
      <c r="CD59" s="131"/>
      <c r="CE59" s="126">
        <f>SUM(M59:CD59)</f>
        <v>9647</v>
      </c>
    </row>
    <row r="60" ht="15.75" customHeight="1">
      <c r="K60" s="134" t="s">
        <v>138</v>
      </c>
      <c r="L60" s="128" t="s">
        <v>139</v>
      </c>
      <c r="M60" s="135">
        <v>4.0</v>
      </c>
      <c r="N60" s="135">
        <v>4.0</v>
      </c>
      <c r="O60" s="135">
        <v>4.0</v>
      </c>
      <c r="P60" s="135">
        <v>5.0</v>
      </c>
      <c r="Q60" s="135">
        <v>5.0</v>
      </c>
      <c r="R60" s="135">
        <v>5.0</v>
      </c>
      <c r="S60" s="135">
        <v>5.0</v>
      </c>
      <c r="T60" s="135">
        <v>4.0</v>
      </c>
      <c r="U60" s="135">
        <v>0.0</v>
      </c>
      <c r="V60" s="135">
        <v>5.0</v>
      </c>
      <c r="W60" s="135">
        <v>7.0</v>
      </c>
      <c r="X60" s="135">
        <v>7.0</v>
      </c>
      <c r="Y60" s="135">
        <v>7.0</v>
      </c>
      <c r="Z60" s="135">
        <v>6.0</v>
      </c>
      <c r="AA60" s="135">
        <v>5.0</v>
      </c>
      <c r="AB60" s="135">
        <v>2.0</v>
      </c>
      <c r="AC60" s="135">
        <v>2.0</v>
      </c>
      <c r="AD60" s="135">
        <v>3.0</v>
      </c>
      <c r="AE60" s="135">
        <v>3.0</v>
      </c>
      <c r="AF60" s="135">
        <v>0.0</v>
      </c>
      <c r="AG60" s="135">
        <v>3.0</v>
      </c>
      <c r="AH60" s="135">
        <v>8.0</v>
      </c>
      <c r="AI60" s="135">
        <v>9.0</v>
      </c>
      <c r="AJ60" s="135">
        <v>7.0</v>
      </c>
      <c r="AK60" s="135">
        <v>7.0</v>
      </c>
      <c r="AL60" s="135">
        <v>5.0</v>
      </c>
      <c r="AM60" s="135">
        <v>5.0</v>
      </c>
      <c r="AN60" s="135">
        <v>4.0</v>
      </c>
      <c r="AO60" s="135">
        <v>4.0</v>
      </c>
      <c r="AP60" s="135">
        <v>1.0</v>
      </c>
      <c r="AQ60" s="135">
        <v>2.0</v>
      </c>
      <c r="AR60" s="135">
        <v>2.0</v>
      </c>
      <c r="AS60" s="135">
        <v>7.0</v>
      </c>
      <c r="AT60" s="135">
        <v>7.0</v>
      </c>
      <c r="AU60" s="135">
        <v>6.0</v>
      </c>
      <c r="AV60" s="135">
        <v>7.0</v>
      </c>
      <c r="AW60" s="135">
        <v>7.0</v>
      </c>
      <c r="AX60" s="135">
        <v>8.0</v>
      </c>
      <c r="AY60" s="135">
        <v>8.0</v>
      </c>
      <c r="AZ60" s="135">
        <v>7.0</v>
      </c>
      <c r="BA60" s="135">
        <v>4.0</v>
      </c>
      <c r="BB60" s="135">
        <v>2.0</v>
      </c>
      <c r="BC60" s="135">
        <v>2.0</v>
      </c>
      <c r="BD60" s="135">
        <v>2.0</v>
      </c>
      <c r="BE60" s="135">
        <v>2.0</v>
      </c>
      <c r="BF60" s="135">
        <v>2.0</v>
      </c>
      <c r="BG60" s="135">
        <v>9.0</v>
      </c>
      <c r="BH60" s="135">
        <v>9.0</v>
      </c>
      <c r="BI60" s="135">
        <v>8.0</v>
      </c>
      <c r="BJ60" s="135">
        <v>8.0</v>
      </c>
      <c r="BK60" s="135">
        <v>4.0</v>
      </c>
      <c r="BL60" s="135">
        <v>4.0</v>
      </c>
      <c r="BM60" s="135">
        <v>5.0</v>
      </c>
      <c r="BN60" s="135">
        <v>5.0</v>
      </c>
      <c r="BO60" s="135">
        <v>6.0</v>
      </c>
      <c r="BP60" s="135">
        <v>7.0</v>
      </c>
      <c r="BQ60" s="135">
        <v>7.0</v>
      </c>
      <c r="BR60" s="135">
        <v>7.0</v>
      </c>
      <c r="BS60" s="135">
        <v>6.0</v>
      </c>
      <c r="BT60" s="135">
        <v>4.0</v>
      </c>
      <c r="BU60" s="136"/>
      <c r="BV60" s="136"/>
      <c r="BW60" s="136"/>
      <c r="BX60" s="136"/>
      <c r="BY60" s="136"/>
      <c r="BZ60" s="136"/>
      <c r="CA60" s="136"/>
      <c r="CB60" s="136"/>
      <c r="CC60" s="136"/>
      <c r="CD60" s="136"/>
      <c r="CE60" s="126">
        <f>SUM(M60:BT60)</f>
        <v>300</v>
      </c>
    </row>
    <row r="61" ht="15.75" customHeight="1">
      <c r="L61" s="128" t="s">
        <v>140</v>
      </c>
      <c r="M61" s="131">
        <f t="shared" ref="M61:BT61" si="22">M59-M60</f>
        <v>296</v>
      </c>
      <c r="N61" s="131">
        <f t="shared" si="22"/>
        <v>292</v>
      </c>
      <c r="O61" s="131">
        <f t="shared" si="22"/>
        <v>288</v>
      </c>
      <c r="P61" s="131">
        <f t="shared" si="22"/>
        <v>283</v>
      </c>
      <c r="Q61" s="131">
        <f t="shared" si="22"/>
        <v>278</v>
      </c>
      <c r="R61" s="131">
        <f t="shared" si="22"/>
        <v>273</v>
      </c>
      <c r="S61" s="131">
        <f t="shared" si="22"/>
        <v>268</v>
      </c>
      <c r="T61" s="131">
        <f t="shared" si="22"/>
        <v>264</v>
      </c>
      <c r="U61" s="131">
        <f t="shared" si="22"/>
        <v>264</v>
      </c>
      <c r="V61" s="131">
        <f t="shared" si="22"/>
        <v>259</v>
      </c>
      <c r="W61" s="131">
        <f t="shared" si="22"/>
        <v>252</v>
      </c>
      <c r="X61" s="131">
        <f t="shared" si="22"/>
        <v>245</v>
      </c>
      <c r="Y61" s="131">
        <f t="shared" si="22"/>
        <v>238</v>
      </c>
      <c r="Z61" s="131">
        <f t="shared" si="22"/>
        <v>232</v>
      </c>
      <c r="AA61" s="131">
        <f t="shared" si="22"/>
        <v>227</v>
      </c>
      <c r="AB61" s="131">
        <f t="shared" si="22"/>
        <v>225</v>
      </c>
      <c r="AC61" s="131">
        <f t="shared" si="22"/>
        <v>223</v>
      </c>
      <c r="AD61" s="131">
        <f t="shared" si="22"/>
        <v>220</v>
      </c>
      <c r="AE61" s="131">
        <f t="shared" si="22"/>
        <v>217</v>
      </c>
      <c r="AF61" s="131">
        <f t="shared" si="22"/>
        <v>217</v>
      </c>
      <c r="AG61" s="131">
        <f t="shared" si="22"/>
        <v>214</v>
      </c>
      <c r="AH61" s="131">
        <f t="shared" si="22"/>
        <v>206</v>
      </c>
      <c r="AI61" s="131">
        <f t="shared" si="22"/>
        <v>197</v>
      </c>
      <c r="AJ61" s="131">
        <f t="shared" si="22"/>
        <v>190</v>
      </c>
      <c r="AK61" s="131">
        <f t="shared" si="22"/>
        <v>183</v>
      </c>
      <c r="AL61" s="131">
        <f t="shared" si="22"/>
        <v>178</v>
      </c>
      <c r="AM61" s="131">
        <f t="shared" si="22"/>
        <v>173</v>
      </c>
      <c r="AN61" s="131">
        <f t="shared" si="22"/>
        <v>169</v>
      </c>
      <c r="AO61" s="131">
        <f t="shared" si="22"/>
        <v>165</v>
      </c>
      <c r="AP61" s="131">
        <f t="shared" si="22"/>
        <v>164</v>
      </c>
      <c r="AQ61" s="131">
        <f t="shared" si="22"/>
        <v>162</v>
      </c>
      <c r="AR61" s="131">
        <f t="shared" si="22"/>
        <v>160</v>
      </c>
      <c r="AS61" s="131">
        <f t="shared" si="22"/>
        <v>153</v>
      </c>
      <c r="AT61" s="131">
        <f t="shared" si="22"/>
        <v>146</v>
      </c>
      <c r="AU61" s="131">
        <f t="shared" si="22"/>
        <v>140</v>
      </c>
      <c r="AV61" s="131">
        <f t="shared" si="22"/>
        <v>133</v>
      </c>
      <c r="AW61" s="131">
        <f t="shared" si="22"/>
        <v>126</v>
      </c>
      <c r="AX61" s="131">
        <f t="shared" si="22"/>
        <v>118</v>
      </c>
      <c r="AY61" s="131">
        <f t="shared" si="22"/>
        <v>110</v>
      </c>
      <c r="AZ61" s="131">
        <f t="shared" si="22"/>
        <v>103</v>
      </c>
      <c r="BA61" s="131">
        <f t="shared" si="22"/>
        <v>99</v>
      </c>
      <c r="BB61" s="131">
        <f t="shared" si="22"/>
        <v>97</v>
      </c>
      <c r="BC61" s="131">
        <f t="shared" si="22"/>
        <v>95</v>
      </c>
      <c r="BD61" s="131">
        <f t="shared" si="22"/>
        <v>93</v>
      </c>
      <c r="BE61" s="131">
        <f t="shared" si="22"/>
        <v>91</v>
      </c>
      <c r="BF61" s="131">
        <f t="shared" si="22"/>
        <v>89</v>
      </c>
      <c r="BG61" s="131">
        <f t="shared" si="22"/>
        <v>80</v>
      </c>
      <c r="BH61" s="131">
        <f t="shared" si="22"/>
        <v>71</v>
      </c>
      <c r="BI61" s="131">
        <f t="shared" si="22"/>
        <v>63</v>
      </c>
      <c r="BJ61" s="131">
        <f t="shared" si="22"/>
        <v>55</v>
      </c>
      <c r="BK61" s="131">
        <f t="shared" si="22"/>
        <v>51</v>
      </c>
      <c r="BL61" s="131">
        <f t="shared" si="22"/>
        <v>47</v>
      </c>
      <c r="BM61" s="131">
        <f t="shared" si="22"/>
        <v>42</v>
      </c>
      <c r="BN61" s="131">
        <f t="shared" si="22"/>
        <v>37</v>
      </c>
      <c r="BO61" s="131">
        <f t="shared" si="22"/>
        <v>31</v>
      </c>
      <c r="BP61" s="131">
        <f t="shared" si="22"/>
        <v>24</v>
      </c>
      <c r="BQ61" s="131">
        <f t="shared" si="22"/>
        <v>17</v>
      </c>
      <c r="BR61" s="131">
        <f t="shared" si="22"/>
        <v>10</v>
      </c>
      <c r="BS61" s="131">
        <f t="shared" si="22"/>
        <v>4</v>
      </c>
      <c r="BT61" s="131">
        <f t="shared" si="22"/>
        <v>0</v>
      </c>
      <c r="BU61" s="131"/>
      <c r="BV61" s="131"/>
      <c r="BW61" s="131"/>
      <c r="BX61" s="131"/>
      <c r="BY61" s="131"/>
      <c r="BZ61" s="131"/>
      <c r="CA61" s="131"/>
      <c r="CB61" s="131"/>
      <c r="CC61" s="131"/>
      <c r="CD61" s="131"/>
      <c r="CE61" s="126">
        <f>SUM(M61:CD61)</f>
        <v>9347</v>
      </c>
    </row>
    <row r="62" ht="15.75" customHeight="1"/>
    <row r="63" ht="15.75" customHeight="1"/>
    <row r="64" ht="15.75" customHeight="1"/>
    <row r="65" ht="36.0" customHeight="1">
      <c r="E65" s="137" t="s">
        <v>141</v>
      </c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  <c r="AY65" s="138"/>
      <c r="AZ65" s="138"/>
      <c r="BA65" s="138"/>
      <c r="BB65" s="139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381.75" customHeight="1"/>
    <row r="99" ht="223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23">
    <mergeCell ref="K3:K8"/>
    <mergeCell ref="B10:B11"/>
    <mergeCell ref="C10:C11"/>
    <mergeCell ref="D10:D11"/>
    <mergeCell ref="E10:G10"/>
    <mergeCell ref="H10:H11"/>
    <mergeCell ref="I10:I11"/>
    <mergeCell ref="AG10:AK10"/>
    <mergeCell ref="AL10:AP10"/>
    <mergeCell ref="AQ10:AU10"/>
    <mergeCell ref="AV10:AZ10"/>
    <mergeCell ref="BA10:BE10"/>
    <mergeCell ref="BF10:BJ10"/>
    <mergeCell ref="BK10:BO10"/>
    <mergeCell ref="BP10:BT10"/>
    <mergeCell ref="J10:J11"/>
    <mergeCell ref="K10:K11"/>
    <mergeCell ref="L10:L11"/>
    <mergeCell ref="M10:Q10"/>
    <mergeCell ref="R10:V10"/>
    <mergeCell ref="W10:AA10"/>
    <mergeCell ref="AB10:AF10"/>
    <mergeCell ref="E65:BB6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8047"/>
    <outlinePr summaryBelow="0" summaryRight="0"/>
    <pageSetUpPr/>
  </sheetPr>
  <sheetViews>
    <sheetView showGridLines="0" workbookViewId="0"/>
  </sheetViews>
  <sheetFormatPr customHeight="1" defaultColWidth="11.22" defaultRowHeight="15.0"/>
  <cols>
    <col customWidth="1" min="1" max="1" width="1.89"/>
    <col customWidth="1" min="2" max="2" width="7.0"/>
    <col customWidth="1" min="3" max="3" width="7.22"/>
    <col customWidth="1" min="4" max="4" width="34.56"/>
    <col customWidth="1" min="5" max="5" width="28.78"/>
    <col customWidth="1" min="6" max="6" width="56.0"/>
    <col customWidth="1" min="7" max="7" width="18.67"/>
    <col customWidth="1" min="8" max="8" width="11.78"/>
    <col customWidth="1" min="9" max="9" width="13.78"/>
    <col customWidth="1" min="10" max="10" width="30.44"/>
    <col customWidth="1" min="11" max="11" width="2.33"/>
    <col customWidth="1" min="12" max="12" width="12.22"/>
    <col customWidth="1" min="13" max="13" width="2.33"/>
    <col customWidth="1" min="14" max="14" width="11.22"/>
    <col customWidth="1" min="15" max="26" width="8.67"/>
  </cols>
  <sheetData>
    <row r="1" ht="36.0" customHeight="1">
      <c r="B1" s="140" t="s">
        <v>0</v>
      </c>
      <c r="C1" s="141"/>
      <c r="D1" s="141"/>
      <c r="E1" s="142"/>
      <c r="F1" s="141"/>
      <c r="G1" s="141"/>
      <c r="H1" s="141"/>
      <c r="I1" s="141"/>
      <c r="J1" s="141"/>
      <c r="K1" s="3"/>
    </row>
    <row r="2" ht="36.0" customHeight="1">
      <c r="B2" s="143" t="s">
        <v>142</v>
      </c>
      <c r="C2" s="141"/>
      <c r="D2" s="141"/>
      <c r="E2" s="143"/>
      <c r="F2" s="141"/>
      <c r="G2" s="141"/>
      <c r="H2" s="141"/>
      <c r="I2" s="141"/>
      <c r="J2" s="141"/>
      <c r="K2" s="3"/>
    </row>
    <row r="3" ht="36.0" customHeight="1">
      <c r="B3" s="144" t="s">
        <v>143</v>
      </c>
      <c r="C3" s="145" t="s">
        <v>13</v>
      </c>
      <c r="D3" s="145" t="s">
        <v>144</v>
      </c>
      <c r="E3" s="145" t="s">
        <v>10</v>
      </c>
      <c r="F3" s="145" t="s">
        <v>145</v>
      </c>
      <c r="G3" s="146" t="s">
        <v>11</v>
      </c>
      <c r="H3" s="146" t="s">
        <v>146</v>
      </c>
      <c r="I3" s="147" t="s">
        <v>147</v>
      </c>
      <c r="J3" s="147" t="s">
        <v>148</v>
      </c>
      <c r="L3" s="148" t="s">
        <v>149</v>
      </c>
      <c r="N3" s="148" t="s">
        <v>146</v>
      </c>
    </row>
    <row r="4" ht="18.0" customHeight="1">
      <c r="B4" s="149" t="s">
        <v>150</v>
      </c>
      <c r="C4" s="150">
        <v>1.0</v>
      </c>
      <c r="D4" s="150" t="s">
        <v>151</v>
      </c>
      <c r="E4" s="150" t="s">
        <v>152</v>
      </c>
      <c r="F4" s="150" t="s">
        <v>153</v>
      </c>
      <c r="G4" s="151"/>
      <c r="H4" s="152">
        <v>40.0</v>
      </c>
      <c r="I4" s="153" t="s">
        <v>154</v>
      </c>
      <c r="J4" s="154"/>
      <c r="L4" s="155" t="s">
        <v>155</v>
      </c>
      <c r="N4" s="156">
        <v>1.0</v>
      </c>
    </row>
    <row r="5" ht="18.0" customHeight="1">
      <c r="B5" s="149" t="s">
        <v>150</v>
      </c>
      <c r="C5" s="150">
        <v>2.0</v>
      </c>
      <c r="D5" s="157" t="s">
        <v>156</v>
      </c>
      <c r="E5" s="150" t="s">
        <v>157</v>
      </c>
      <c r="F5" s="157" t="s">
        <v>158</v>
      </c>
      <c r="G5" s="151"/>
      <c r="H5" s="158">
        <v>40.0</v>
      </c>
      <c r="I5" s="153" t="s">
        <v>154</v>
      </c>
      <c r="J5" s="154"/>
      <c r="L5" s="159" t="s">
        <v>159</v>
      </c>
      <c r="N5" s="156">
        <v>2.0</v>
      </c>
    </row>
    <row r="6" ht="18.0" customHeight="1">
      <c r="B6" s="149" t="s">
        <v>150</v>
      </c>
      <c r="C6" s="150">
        <v>3.0</v>
      </c>
      <c r="D6" s="157" t="s">
        <v>160</v>
      </c>
      <c r="E6" s="157" t="s">
        <v>161</v>
      </c>
      <c r="F6" s="157" t="s">
        <v>162</v>
      </c>
      <c r="G6" s="151"/>
      <c r="H6" s="158">
        <v>60.0</v>
      </c>
      <c r="I6" s="153" t="s">
        <v>154</v>
      </c>
      <c r="J6" s="154"/>
      <c r="L6" s="160" t="s">
        <v>154</v>
      </c>
      <c r="N6" s="156">
        <v>4.0</v>
      </c>
    </row>
    <row r="7" ht="18.0" customHeight="1">
      <c r="B7" s="149" t="s">
        <v>150</v>
      </c>
      <c r="C7" s="150">
        <v>4.0</v>
      </c>
      <c r="D7" s="157" t="s">
        <v>163</v>
      </c>
      <c r="E7" s="157" t="s">
        <v>161</v>
      </c>
      <c r="F7" s="157" t="s">
        <v>164</v>
      </c>
      <c r="G7" s="151"/>
      <c r="H7" s="158">
        <v>60.0</v>
      </c>
      <c r="I7" s="153" t="s">
        <v>154</v>
      </c>
      <c r="J7" s="154"/>
      <c r="N7" s="156">
        <v>8.0</v>
      </c>
    </row>
    <row r="8" ht="18.0" customHeight="1">
      <c r="B8" s="149" t="s">
        <v>150</v>
      </c>
      <c r="C8" s="157">
        <v>5.0</v>
      </c>
      <c r="D8" s="157" t="s">
        <v>165</v>
      </c>
      <c r="E8" s="157" t="s">
        <v>157</v>
      </c>
      <c r="F8" s="157" t="s">
        <v>166</v>
      </c>
      <c r="G8" s="151"/>
      <c r="H8" s="158">
        <v>40.0</v>
      </c>
      <c r="I8" s="161" t="s">
        <v>154</v>
      </c>
      <c r="J8" s="162"/>
      <c r="N8" s="156">
        <v>16.0</v>
      </c>
    </row>
    <row r="9" ht="18.0" customHeight="1">
      <c r="B9" s="163" t="s">
        <v>167</v>
      </c>
      <c r="C9" s="157">
        <v>6.0</v>
      </c>
      <c r="D9" s="157" t="s">
        <v>168</v>
      </c>
      <c r="E9" s="157" t="s">
        <v>169</v>
      </c>
      <c r="F9" s="157" t="s">
        <v>170</v>
      </c>
      <c r="G9" s="151"/>
      <c r="H9" s="158">
        <v>60.0</v>
      </c>
      <c r="I9" s="161" t="s">
        <v>154</v>
      </c>
      <c r="J9" s="162"/>
      <c r="N9" s="156">
        <v>24.0</v>
      </c>
    </row>
    <row r="10" ht="18.0" customHeight="1">
      <c r="B10" s="164"/>
      <c r="C10" s="165"/>
      <c r="D10" s="165"/>
      <c r="E10" s="165"/>
      <c r="F10" s="165"/>
      <c r="G10" s="166"/>
      <c r="H10" s="167"/>
      <c r="I10" s="168"/>
      <c r="J10" s="162"/>
      <c r="N10" s="156">
        <v>40.0</v>
      </c>
    </row>
    <row r="11" ht="18.0" customHeight="1">
      <c r="B11" s="164"/>
      <c r="C11" s="165"/>
      <c r="D11" s="165"/>
      <c r="E11" s="165"/>
      <c r="F11" s="165"/>
      <c r="G11" s="166"/>
      <c r="H11" s="167"/>
      <c r="I11" s="168"/>
      <c r="J11" s="162"/>
      <c r="N11" s="169">
        <v>60.0</v>
      </c>
    </row>
    <row r="12" ht="18.0" customHeight="1">
      <c r="B12" s="164"/>
      <c r="C12" s="165"/>
      <c r="D12" s="165"/>
      <c r="E12" s="165"/>
      <c r="F12" s="165"/>
      <c r="G12" s="166"/>
      <c r="H12" s="167"/>
      <c r="I12" s="168"/>
      <c r="J12" s="162"/>
      <c r="N12" s="170">
        <v>80.0</v>
      </c>
    </row>
    <row r="13" ht="18.0" customHeight="1">
      <c r="B13" s="164"/>
      <c r="C13" s="165"/>
      <c r="D13" s="165"/>
      <c r="E13" s="165"/>
      <c r="F13" s="165"/>
      <c r="G13" s="166"/>
      <c r="H13" s="167"/>
      <c r="I13" s="168"/>
      <c r="J13" s="162"/>
    </row>
    <row r="14" ht="18.0" customHeight="1">
      <c r="B14" s="164"/>
      <c r="C14" s="165"/>
      <c r="D14" s="165"/>
      <c r="E14" s="165"/>
      <c r="F14" s="165"/>
      <c r="G14" s="166"/>
      <c r="H14" s="167"/>
      <c r="I14" s="168"/>
      <c r="J14" s="162"/>
    </row>
    <row r="15" ht="18.0" customHeight="1">
      <c r="B15" s="164"/>
      <c r="C15" s="165"/>
      <c r="D15" s="165"/>
      <c r="E15" s="165"/>
      <c r="F15" s="165"/>
      <c r="G15" s="166"/>
      <c r="H15" s="167"/>
      <c r="I15" s="168"/>
      <c r="J15" s="162"/>
    </row>
    <row r="16" ht="15.75" customHeight="1">
      <c r="B16" s="164"/>
      <c r="C16" s="165"/>
      <c r="D16" s="165"/>
      <c r="E16" s="165"/>
      <c r="F16" s="165"/>
      <c r="G16" s="166"/>
      <c r="H16" s="167"/>
      <c r="I16" s="168"/>
      <c r="J16" s="162"/>
    </row>
    <row r="17" ht="15.75" customHeight="1">
      <c r="B17" s="164"/>
      <c r="C17" s="165"/>
      <c r="D17" s="165"/>
      <c r="E17" s="165"/>
      <c r="F17" s="165"/>
      <c r="G17" s="166"/>
      <c r="H17" s="167"/>
      <c r="I17" s="168"/>
      <c r="J17" s="162"/>
    </row>
    <row r="18" ht="15.75" customHeight="1">
      <c r="B18" s="164"/>
      <c r="C18" s="165"/>
      <c r="D18" s="165"/>
      <c r="E18" s="165"/>
      <c r="F18" s="165"/>
      <c r="G18" s="166"/>
      <c r="H18" s="167"/>
      <c r="I18" s="168"/>
      <c r="J18" s="162"/>
    </row>
    <row r="19" ht="15.75" customHeight="1">
      <c r="B19" s="164"/>
      <c r="C19" s="165"/>
      <c r="D19" s="165"/>
      <c r="E19" s="165"/>
      <c r="F19" s="165"/>
      <c r="G19" s="166"/>
      <c r="H19" s="167"/>
      <c r="I19" s="168"/>
      <c r="J19" s="162"/>
    </row>
    <row r="20" ht="15.75" customHeight="1">
      <c r="B20" s="164"/>
      <c r="C20" s="165"/>
      <c r="D20" s="165"/>
      <c r="E20" s="165"/>
      <c r="F20" s="165"/>
      <c r="G20" s="166"/>
      <c r="H20" s="167"/>
      <c r="I20" s="168"/>
      <c r="J20" s="162"/>
    </row>
    <row r="21" ht="15.75" customHeight="1">
      <c r="B21" s="164"/>
      <c r="C21" s="165"/>
      <c r="D21" s="165"/>
      <c r="E21" s="165"/>
      <c r="F21" s="165"/>
      <c r="G21" s="166"/>
      <c r="H21" s="167"/>
      <c r="I21" s="168"/>
      <c r="J21" s="162"/>
    </row>
    <row r="22" ht="15.75" customHeight="1">
      <c r="B22" s="164"/>
      <c r="C22" s="165"/>
      <c r="D22" s="165"/>
      <c r="E22" s="165"/>
      <c r="F22" s="165"/>
      <c r="G22" s="166"/>
      <c r="H22" s="167"/>
      <c r="I22" s="168"/>
      <c r="J22" s="162"/>
    </row>
    <row r="23" ht="15.75" customHeight="1">
      <c r="B23" s="164"/>
      <c r="C23" s="165"/>
      <c r="D23" s="165"/>
      <c r="E23" s="165"/>
      <c r="F23" s="165"/>
      <c r="G23" s="166"/>
      <c r="H23" s="167"/>
      <c r="I23" s="168"/>
      <c r="J23" s="162"/>
    </row>
    <row r="24" ht="18.0" customHeight="1">
      <c r="B24" s="164"/>
      <c r="C24" s="165"/>
      <c r="D24" s="165"/>
      <c r="E24" s="165"/>
      <c r="F24" s="165"/>
      <c r="G24" s="166"/>
      <c r="H24" s="167"/>
      <c r="I24" s="168"/>
      <c r="J24" s="162"/>
    </row>
    <row r="25" ht="18.0" customHeight="1">
      <c r="B25" s="164"/>
      <c r="C25" s="165"/>
      <c r="D25" s="165"/>
      <c r="E25" s="165"/>
      <c r="F25" s="165"/>
      <c r="G25" s="166"/>
      <c r="H25" s="167"/>
      <c r="I25" s="168"/>
      <c r="J25" s="162"/>
    </row>
    <row r="26" ht="18.0" customHeight="1">
      <c r="B26" s="164"/>
      <c r="C26" s="165"/>
      <c r="D26" s="165"/>
      <c r="E26" s="165"/>
      <c r="F26" s="165"/>
      <c r="G26" s="166"/>
      <c r="H26" s="167"/>
      <c r="I26" s="168"/>
      <c r="J26" s="162"/>
    </row>
    <row r="27" ht="18.0" customHeight="1">
      <c r="B27" s="164"/>
      <c r="C27" s="165"/>
      <c r="D27" s="165"/>
      <c r="E27" s="165"/>
      <c r="F27" s="165"/>
      <c r="G27" s="166"/>
      <c r="H27" s="167"/>
      <c r="I27" s="168"/>
      <c r="J27" s="162"/>
    </row>
    <row r="28" ht="18.0" customHeight="1">
      <c r="B28" s="164"/>
      <c r="C28" s="165"/>
      <c r="D28" s="165"/>
      <c r="E28" s="165"/>
      <c r="F28" s="165"/>
      <c r="G28" s="166"/>
      <c r="H28" s="167"/>
      <c r="I28" s="168"/>
      <c r="J28" s="162"/>
    </row>
    <row r="29" ht="18.0" customHeight="1">
      <c r="B29" s="164"/>
      <c r="C29" s="165"/>
      <c r="D29" s="165"/>
      <c r="E29" s="165"/>
      <c r="F29" s="165"/>
      <c r="G29" s="166"/>
      <c r="H29" s="167"/>
      <c r="I29" s="168"/>
      <c r="J29" s="162"/>
    </row>
    <row r="30" ht="18.0" customHeight="1">
      <c r="B30" s="164"/>
      <c r="C30" s="165"/>
      <c r="D30" s="165"/>
      <c r="E30" s="165"/>
      <c r="F30" s="165"/>
      <c r="G30" s="166"/>
      <c r="H30" s="167"/>
      <c r="I30" s="168"/>
      <c r="J30" s="162"/>
    </row>
    <row r="31" ht="18.0" customHeight="1">
      <c r="B31" s="164"/>
      <c r="C31" s="165"/>
      <c r="D31" s="165"/>
      <c r="E31" s="165"/>
      <c r="F31" s="165"/>
      <c r="G31" s="166"/>
      <c r="H31" s="167"/>
      <c r="I31" s="168"/>
      <c r="J31" s="162"/>
    </row>
    <row r="32" ht="15.75" customHeight="1">
      <c r="B32" s="164"/>
      <c r="C32" s="165"/>
      <c r="D32" s="165"/>
      <c r="E32" s="165"/>
      <c r="F32" s="165"/>
      <c r="G32" s="166"/>
      <c r="H32" s="167"/>
      <c r="I32" s="168"/>
      <c r="J32" s="162"/>
    </row>
    <row r="33" ht="15.75" customHeight="1">
      <c r="B33" s="164"/>
      <c r="C33" s="165"/>
      <c r="D33" s="165"/>
      <c r="E33" s="165"/>
      <c r="F33" s="165"/>
      <c r="G33" s="166"/>
      <c r="H33" s="167"/>
      <c r="I33" s="168"/>
      <c r="J33" s="162"/>
    </row>
    <row r="34" ht="15.75" customHeight="1">
      <c r="B34" s="164"/>
      <c r="C34" s="165"/>
      <c r="D34" s="165"/>
      <c r="E34" s="165"/>
      <c r="F34" s="165"/>
      <c r="G34" s="166"/>
      <c r="H34" s="167"/>
      <c r="I34" s="168"/>
      <c r="J34" s="162"/>
    </row>
    <row r="35" ht="15.75" customHeight="1">
      <c r="B35" s="164"/>
      <c r="C35" s="165"/>
      <c r="D35" s="165"/>
      <c r="E35" s="165"/>
      <c r="F35" s="165"/>
      <c r="G35" s="166"/>
      <c r="H35" s="167"/>
      <c r="I35" s="168"/>
      <c r="J35" s="162"/>
    </row>
    <row r="36" ht="15.75" customHeight="1">
      <c r="B36" s="164"/>
      <c r="C36" s="165"/>
      <c r="D36" s="165"/>
      <c r="E36" s="165"/>
      <c r="F36" s="165"/>
      <c r="G36" s="166"/>
      <c r="H36" s="167"/>
      <c r="I36" s="168"/>
      <c r="J36" s="162"/>
    </row>
    <row r="37" ht="15.75" customHeight="1">
      <c r="B37" s="164"/>
      <c r="C37" s="165"/>
      <c r="D37" s="165"/>
      <c r="E37" s="165"/>
      <c r="F37" s="165"/>
      <c r="G37" s="166"/>
      <c r="H37" s="167"/>
      <c r="I37" s="168"/>
      <c r="J37" s="162"/>
    </row>
    <row r="38" ht="15.75" customHeight="1">
      <c r="B38" s="164"/>
      <c r="C38" s="165"/>
      <c r="D38" s="165"/>
      <c r="E38" s="165"/>
      <c r="F38" s="165"/>
      <c r="G38" s="166"/>
      <c r="H38" s="167"/>
      <c r="I38" s="168"/>
      <c r="J38" s="162"/>
    </row>
    <row r="39" ht="15.75" customHeight="1">
      <c r="B39" s="164"/>
      <c r="C39" s="165"/>
      <c r="D39" s="165"/>
      <c r="E39" s="165"/>
      <c r="F39" s="165"/>
      <c r="G39" s="166"/>
      <c r="H39" s="167"/>
      <c r="I39" s="168"/>
      <c r="J39" s="162"/>
    </row>
    <row r="40" ht="15.75" customHeight="1">
      <c r="B40" s="164"/>
      <c r="C40" s="165"/>
      <c r="D40" s="165"/>
      <c r="E40" s="165"/>
      <c r="F40" s="165"/>
      <c r="G40" s="166"/>
      <c r="H40" s="167"/>
      <c r="I40" s="168"/>
      <c r="J40" s="162"/>
    </row>
    <row r="41" ht="16.5" customHeight="1">
      <c r="B41" s="171"/>
      <c r="C41" s="172"/>
      <c r="D41" s="172"/>
      <c r="E41" s="172"/>
      <c r="F41" s="172"/>
      <c r="G41" s="173"/>
      <c r="H41" s="173"/>
      <c r="I41" s="174"/>
      <c r="J41" s="17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H4:H41">
    <cfRule type="colorScale" priority="1">
      <colorScale>
        <cfvo type="min"/>
        <cfvo type="max"/>
        <color rgb="FFFFFFFF"/>
        <color rgb="FFAFCAC4"/>
      </colorScale>
    </cfRule>
  </conditionalFormatting>
  <conditionalFormatting sqref="I4:I41">
    <cfRule type="cellIs" dxfId="0" priority="2" operator="equal">
      <formula>$L$6</formula>
    </cfRule>
  </conditionalFormatting>
  <conditionalFormatting sqref="I4:I41">
    <cfRule type="cellIs" dxfId="1" priority="3" operator="equal">
      <formula>$L$5</formula>
    </cfRule>
  </conditionalFormatting>
  <conditionalFormatting sqref="I4:I41">
    <cfRule type="cellIs" dxfId="2" priority="4" operator="equal">
      <formula>$L$4</formula>
    </cfRule>
  </conditionalFormatting>
  <conditionalFormatting sqref="I4:I41">
    <cfRule type="containsText" dxfId="2" priority="5" operator="containsText" text="Not Started">
      <formula>NOT(ISERROR(SEARCH(("Not Started"),(I4))))</formula>
    </cfRule>
  </conditionalFormatting>
  <conditionalFormatting sqref="I4:I41">
    <cfRule type="colorScale" priority="6">
      <colorScale>
        <cfvo type="formula" val="$L$4"/>
        <cfvo type="formula" val="$L$5"/>
        <cfvo type="formula" val="$L$6"/>
        <color rgb="FFF8E5DA"/>
        <color rgb="FFF7EFDE"/>
        <color rgb="FFE9E7E7"/>
      </colorScale>
    </cfRule>
  </conditionalFormatting>
  <conditionalFormatting sqref="L4">
    <cfRule type="cellIs" dxfId="2" priority="7" operator="equal">
      <formula>$L$4</formula>
    </cfRule>
  </conditionalFormatting>
  <conditionalFormatting sqref="L4:L6">
    <cfRule type="containsText" dxfId="1" priority="8" operator="containsText" text="In Progress">
      <formula>NOT(ISERROR(SEARCH(("In Progress"),(L4))))</formula>
    </cfRule>
  </conditionalFormatting>
  <conditionalFormatting sqref="L4:L6">
    <cfRule type="colorScale" priority="9">
      <colorScale>
        <cfvo type="formula" val="$L$5"/>
        <cfvo type="formula" val="$L$5"/>
        <cfvo type="formula" val="$L$6"/>
        <color rgb="FFF8E5DA"/>
        <color rgb="FFF7EFDE"/>
        <color rgb="FFE9E7E7"/>
      </colorScale>
    </cfRule>
  </conditionalFormatting>
  <conditionalFormatting sqref="L6">
    <cfRule type="cellIs" dxfId="0" priority="10" operator="equal">
      <formula>$L$6</formula>
    </cfRule>
  </conditionalFormatting>
  <conditionalFormatting sqref="N4:N12">
    <cfRule type="colorScale" priority="11">
      <colorScale>
        <cfvo type="min"/>
        <cfvo type="max"/>
        <color rgb="FFFFFFFF"/>
        <color rgb="FFAFCAC4"/>
      </colorScale>
    </cfRule>
  </conditionalFormatting>
  <dataValidations>
    <dataValidation type="list" allowBlank="1" showErrorMessage="1" sqref="H4:H41">
      <formula1>$N$4:$N$12</formula1>
    </dataValidation>
    <dataValidation type="list" allowBlank="1" showErrorMessage="1" sqref="I4:I41">
      <formula1>$L$4:$L$6</formula1>
    </dataValidation>
  </dataValidations>
  <printOptions/>
  <pageMargins bottom="1.0" footer="0.0" header="0.0" left="0.75" right="0.75" top="1.0"/>
  <pageSetup orientation="landscape"/>
  <drawing r:id="rId1"/>
</worksheet>
</file>